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yslip" sheetId="1" r:id="rId5"/>
    <sheet state="visible" name="Payslip old" sheetId="2" r:id="rId6"/>
  </sheets>
  <definedNames/>
  <calcPr/>
</workbook>
</file>

<file path=xl/sharedStrings.xml><?xml version="1.0" encoding="utf-8"?>
<sst xmlns="http://schemas.openxmlformats.org/spreadsheetml/2006/main" count="91" uniqueCount="61">
  <si>
    <t>Rhaya Flicks</t>
  </si>
  <si>
    <t>PAYSLIP</t>
  </si>
  <si>
    <t>Sapphire Commercial SRC 009 Summarecon Bandung</t>
  </si>
  <si>
    <t>info@rhayaflicks.com</t>
  </si>
  <si>
    <t>PT Rhayakan Film Indonesia</t>
  </si>
  <si>
    <t>EMPLOYEE INFORMATION</t>
  </si>
  <si>
    <t>PAY DATE</t>
  </si>
  <si>
    <t>PERIOD</t>
  </si>
  <si>
    <t>Nama Karyawan</t>
  </si>
  <si>
    <t>Titel</t>
  </si>
  <si>
    <t>EMPLOYEE ID</t>
  </si>
  <si>
    <t>PTKP STATUS</t>
  </si>
  <si>
    <t>Email@gmail.com</t>
  </si>
  <si>
    <t>Payment Method</t>
  </si>
  <si>
    <t>Bank Transfer</t>
  </si>
  <si>
    <t>Currency</t>
  </si>
  <si>
    <t>Rupiah (IDR)</t>
  </si>
  <si>
    <t>EARNINGS</t>
  </si>
  <si>
    <t>DAY / ITEM / HOURS</t>
  </si>
  <si>
    <t>FIXED RATE</t>
  </si>
  <si>
    <t>TOTAL</t>
  </si>
  <si>
    <t>Basic Pay</t>
  </si>
  <si>
    <t>Overtime</t>
  </si>
  <si>
    <r>
      <rPr>
        <rFont val="Helvetica Neue"/>
        <b/>
        <color theme="1"/>
        <sz val="9.0"/>
      </rPr>
      <t>Prepaid Expense From:</t>
    </r>
    <r>
      <rPr>
        <rFont val="Helvetica Neue"/>
        <color theme="1"/>
        <sz val="9.0"/>
      </rPr>
      <t xml:space="preserve">
THR: Bonus: Overtime</t>
    </r>
  </si>
  <si>
    <t>Commission and Bonus</t>
  </si>
  <si>
    <t>Sick Pay</t>
  </si>
  <si>
    <t>Health &amp; Wellness</t>
  </si>
  <si>
    <t>Others</t>
  </si>
  <si>
    <t>GROSS PAY*</t>
  </si>
  <si>
    <t>DEDUCTIONS</t>
  </si>
  <si>
    <t>PERCENTAGE</t>
  </si>
  <si>
    <t>AMOUNT</t>
  </si>
  <si>
    <t>Pph 21</t>
  </si>
  <si>
    <t>BPJSTK</t>
  </si>
  <si>
    <t>BPJSKES</t>
  </si>
  <si>
    <t>Employee Loan</t>
  </si>
  <si>
    <t>Compensation Tax A1</t>
  </si>
  <si>
    <t>TOTAL DEDUCTIONS</t>
  </si>
  <si>
    <t>TAKE HOME PAY</t>
  </si>
  <si>
    <t>(BASIC PAY + OVERTIME) - TOTAL DEDUCTION</t>
  </si>
  <si>
    <t>*) Gross pay serves as the basis for determining the percentage of PPh 21 deductions in accordance with the applicable PTKP status.</t>
  </si>
  <si>
    <t>If you have any questions about this payslip, please contact:</t>
  </si>
  <si>
    <t>hr@rhayaflicks.com</t>
  </si>
  <si>
    <t xml:space="preserve">PT Rhayakan Film Indonesia </t>
  </si>
  <si>
    <t>Nama</t>
  </si>
  <si>
    <t>Role</t>
  </si>
  <si>
    <t>Employee ID</t>
  </si>
  <si>
    <t>PAY TYPE</t>
  </si>
  <si>
    <t>email@gmail.com</t>
  </si>
  <si>
    <t>RG2501</t>
  </si>
  <si>
    <t>Monthly</t>
  </si>
  <si>
    <t>Days oﬀ Remaining</t>
  </si>
  <si>
    <t>DAY/ ITEM / HOURS</t>
  </si>
  <si>
    <t>Total</t>
  </si>
  <si>
    <t>Transportation</t>
  </si>
  <si>
    <r>
      <rPr>
        <rFont val="Helvetica Neue"/>
        <b/>
        <color theme="1"/>
        <sz val="9.0"/>
      </rPr>
      <t>Prepaid Expense From:</t>
    </r>
    <r>
      <rPr>
        <rFont val="Helvetica Neue"/>
        <color theme="1"/>
        <sz val="9.0"/>
      </rPr>
      <t xml:space="preserve">
THR: Bonus Q1: Overtime April</t>
    </r>
  </si>
  <si>
    <t>GROSS PAY</t>
  </si>
  <si>
    <t>Percentage</t>
  </si>
  <si>
    <t>Amount</t>
  </si>
  <si>
    <t>Employee loan</t>
  </si>
  <si>
    <t>ismi@rhayaflicks.com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</si>
</sst>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"/>
    <numFmt numFmtId="165" formatCode="mmmm yyyy"/>
    <numFmt numFmtId="166" formatCode="#,##0;(#,##0)"/>
    <numFmt numFmtId="167" formatCode="[$Rp]#,##0"/>
  </numFmts>
  <fonts count="19">
    <font>
      <sz val="10.0"/>
      <color rgb="FF000000"/>
      <name val="Arial"/>
      <scheme val="minor"/>
    </font>
    <font>
      <color theme="1"/>
      <name val="Helvetica Neue"/>
    </font>
    <font>
      <b/>
      <sz val="24.0"/>
      <color theme="1"/>
      <name val="Helvetica Neue"/>
    </font>
    <font>
      <sz val="24.0"/>
      <color theme="1"/>
      <name val="Helvetica Neue"/>
    </font>
    <font>
      <b/>
      <sz val="9.0"/>
      <color theme="1"/>
      <name val="Helvetica Neue"/>
    </font>
    <font>
      <color rgb="FF000000"/>
      <name val="Helvetica Neue"/>
    </font>
    <font>
      <sz val="9.0"/>
      <color rgb="FF28577D"/>
      <name val="Helvetica Neue"/>
    </font>
    <font>
      <sz val="9.0"/>
      <color theme="1"/>
      <name val="Helvetica Neue"/>
    </font>
    <font>
      <b/>
      <sz val="9.0"/>
      <color rgb="FFFFFFFF"/>
      <name val="Helvetica Neue"/>
    </font>
    <font/>
    <font>
      <b/>
      <sz val="11.0"/>
      <color theme="1"/>
      <name val="Helvetica Neue"/>
    </font>
    <font>
      <b/>
      <sz val="11.0"/>
      <color rgb="FF000000"/>
      <name val="Helvetica Neue"/>
    </font>
    <font>
      <b/>
      <sz val="15.0"/>
      <color rgb="FF000000"/>
      <name val="Helvetica Neue"/>
    </font>
    <font>
      <sz val="9.0"/>
      <color rgb="FF000000"/>
      <name val="Helvetica Neue"/>
    </font>
    <font>
      <b/>
      <sz val="10.0"/>
      <color theme="1"/>
      <name val="Helvetica Neue"/>
    </font>
    <font>
      <b/>
      <sz val="28.0"/>
      <color theme="1"/>
      <name val="Helvetica Neue"/>
    </font>
    <font>
      <b/>
      <sz val="12.0"/>
      <color rgb="FF000000"/>
      <name val="Helvetica Neue"/>
    </font>
    <font>
      <b/>
      <sz val="9.0"/>
      <color rgb="FF000000"/>
      <name val="Helvetica Neue"/>
    </font>
    <font>
      <sz val="11.0"/>
      <color theme="1"/>
      <name val="Helvetica Neue"/>
    </font>
  </fonts>
  <fills count="7">
    <fill>
      <patternFill patternType="none"/>
    </fill>
    <fill>
      <patternFill patternType="lightGray"/>
    </fill>
    <fill>
      <patternFill patternType="solid">
        <fgColor rgb="FF7BACD5"/>
        <bgColor rgb="FF7BACD5"/>
      </patternFill>
    </fill>
    <fill>
      <patternFill patternType="solid">
        <fgColor rgb="FFD2E2F0"/>
        <bgColor rgb="FFD2E2F0"/>
      </patternFill>
    </fill>
    <fill>
      <patternFill patternType="solid">
        <fgColor rgb="FFF2F2F2"/>
        <bgColor rgb="FFF2F2F2"/>
      </patternFill>
    </fill>
    <fill>
      <patternFill patternType="solid">
        <fgColor rgb="FFDDDDDD"/>
        <bgColor rgb="FFDDDDDD"/>
      </patternFill>
    </fill>
    <fill>
      <patternFill patternType="solid">
        <fgColor rgb="FFB2B2B2"/>
        <bgColor rgb="FFB2B2B2"/>
      </patternFill>
    </fill>
  </fills>
  <borders count="22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999999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vertical="center"/>
    </xf>
    <xf borderId="2" fillId="0" fontId="2" numFmtId="0" xfId="0" applyAlignment="1" applyBorder="1" applyFont="1">
      <alignment shrinkToFit="0" vertical="center" wrapText="0"/>
    </xf>
    <xf borderId="2" fillId="0" fontId="3" numFmtId="0" xfId="0" applyAlignment="1" applyBorder="1" applyFont="1">
      <alignment horizontal="left" shrinkToFit="0" vertical="center" wrapText="0"/>
    </xf>
    <xf borderId="2" fillId="0" fontId="2" numFmtId="0" xfId="0" applyAlignment="1" applyBorder="1" applyFont="1">
      <alignment horizontal="left" shrinkToFit="0" vertical="center" wrapText="0"/>
    </xf>
    <xf borderId="2" fillId="0" fontId="2" numFmtId="0" xfId="0" applyAlignment="1" applyBorder="1" applyFont="1">
      <alignment horizontal="center" shrinkToFit="0" vertical="center" wrapText="0"/>
    </xf>
    <xf borderId="3" fillId="0" fontId="1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4" fillId="0" fontId="1" numFmtId="0" xfId="0" applyAlignment="1" applyBorder="1" applyFont="1">
      <alignment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0" fontId="5" numFmtId="0" xfId="0" applyAlignment="1" applyFont="1">
      <alignment vertical="center"/>
    </xf>
    <xf borderId="5" fillId="0" fontId="1" numFmtId="0" xfId="0" applyAlignment="1" applyBorder="1" applyFont="1">
      <alignment vertical="center"/>
    </xf>
    <xf borderId="0" fillId="0" fontId="4" numFmtId="0" xfId="0" applyAlignment="1" applyFont="1">
      <alignment readingOrder="0" shrinkToFit="0" vertical="center" wrapText="0"/>
    </xf>
    <xf borderId="0" fillId="0" fontId="4" numFmtId="0" xfId="0" applyAlignment="1" applyFont="1">
      <alignment shrinkToFit="0" vertical="center" wrapText="0"/>
    </xf>
    <xf borderId="0" fillId="0" fontId="6" numFmtId="0" xfId="0" applyAlignment="1" applyFont="1">
      <alignment readingOrder="0" vertical="center"/>
    </xf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vertical="center"/>
    </xf>
    <xf borderId="6" fillId="2" fontId="8" numFmtId="0" xfId="0" applyAlignment="1" applyBorder="1" applyFill="1" applyFont="1">
      <alignment horizontal="left" shrinkToFit="0" vertical="center" wrapText="0"/>
    </xf>
    <xf borderId="7" fillId="0" fontId="9" numFmtId="0" xfId="0" applyBorder="1" applyFont="1"/>
    <xf borderId="8" fillId="2" fontId="8" numFmtId="0" xfId="0" applyAlignment="1" applyBorder="1" applyFont="1">
      <alignment horizontal="center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8" fillId="3" fontId="4" numFmtId="164" xfId="0" applyAlignment="1" applyBorder="1" applyFill="1" applyFont="1" applyNumberFormat="1">
      <alignment horizontal="center" shrinkToFit="0" vertical="center" wrapText="0"/>
    </xf>
    <xf borderId="8" fillId="4" fontId="4" numFmtId="165" xfId="0" applyAlignment="1" applyBorder="1" applyFill="1" applyFont="1" applyNumberFormat="1">
      <alignment horizontal="center" shrinkToFit="0" vertical="center" wrapText="0"/>
    </xf>
    <xf borderId="6" fillId="0" fontId="4" numFmtId="0" xfId="0" applyAlignment="1" applyBorder="1" applyFont="1">
      <alignment readingOrder="0" shrinkToFit="0" vertical="center" wrapText="0"/>
    </xf>
    <xf borderId="8" fillId="2" fontId="8" numFmtId="0" xfId="0" applyAlignment="1" applyBorder="1" applyFont="1">
      <alignment horizontal="center" vertical="center"/>
    </xf>
    <xf borderId="6" fillId="0" fontId="7" numFmtId="0" xfId="0" applyAlignment="1" applyBorder="1" applyFont="1">
      <alignment readingOrder="0" shrinkToFit="0" vertical="center" wrapText="0"/>
    </xf>
    <xf borderId="8" fillId="4" fontId="4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shrinkToFit="0" vertical="center" wrapText="0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center" vertical="center"/>
    </xf>
    <xf borderId="9" fillId="5" fontId="4" numFmtId="0" xfId="0" applyAlignment="1" applyBorder="1" applyFill="1" applyFont="1">
      <alignment vertical="center"/>
    </xf>
    <xf borderId="9" fillId="5" fontId="4" numFmtId="0" xfId="0" applyAlignment="1" applyBorder="1" applyFont="1">
      <alignment horizontal="center" vertical="center"/>
    </xf>
    <xf borderId="9" fillId="6" fontId="4" numFmtId="0" xfId="0" applyAlignment="1" applyBorder="1" applyFill="1" applyFont="1">
      <alignment horizontal="center" vertical="center"/>
    </xf>
    <xf borderId="10" fillId="0" fontId="7" numFmtId="0" xfId="0" applyAlignment="1" applyBorder="1" applyFont="1">
      <alignment vertical="center"/>
    </xf>
    <xf borderId="11" fillId="0" fontId="7" numFmtId="0" xfId="0" applyAlignment="1" applyBorder="1" applyFont="1">
      <alignment horizontal="center" vertical="center"/>
    </xf>
    <xf borderId="11" fillId="0" fontId="7" numFmtId="3" xfId="0" applyAlignment="1" applyBorder="1" applyFont="1" applyNumberFormat="1">
      <alignment horizontal="center" vertical="center"/>
    </xf>
    <xf borderId="11" fillId="4" fontId="7" numFmtId="3" xfId="0" applyAlignment="1" applyBorder="1" applyFont="1" applyNumberFormat="1">
      <alignment horizontal="right" vertical="center"/>
    </xf>
    <xf borderId="12" fillId="0" fontId="7" numFmtId="0" xfId="0" applyAlignment="1" applyBorder="1" applyFont="1">
      <alignment vertical="center"/>
    </xf>
    <xf borderId="8" fillId="0" fontId="7" numFmtId="1" xfId="0" applyAlignment="1" applyBorder="1" applyFont="1" applyNumberFormat="1">
      <alignment horizontal="center" vertical="center"/>
    </xf>
    <xf borderId="8" fillId="0" fontId="7" numFmtId="3" xfId="0" applyAlignment="1" applyBorder="1" applyFont="1" applyNumberFormat="1">
      <alignment horizontal="center" readingOrder="0" vertical="center"/>
    </xf>
    <xf borderId="8" fillId="4" fontId="7" numFmtId="3" xfId="0" applyAlignment="1" applyBorder="1" applyFont="1" applyNumberFormat="1">
      <alignment horizontal="right" vertical="center"/>
    </xf>
    <xf borderId="8" fillId="0" fontId="7" numFmtId="0" xfId="0" applyAlignment="1" applyBorder="1" applyFont="1">
      <alignment shrinkToFit="0" vertical="center" wrapText="1"/>
    </xf>
    <xf borderId="8" fillId="0" fontId="7" numFmtId="0" xfId="0" applyAlignment="1" applyBorder="1" applyFont="1">
      <alignment horizontal="center" vertical="center"/>
    </xf>
    <xf borderId="8" fillId="0" fontId="7" numFmtId="3" xfId="0" applyAlignment="1" applyBorder="1" applyFont="1" applyNumberFormat="1">
      <alignment horizontal="center" vertical="center"/>
    </xf>
    <xf borderId="13" fillId="0" fontId="7" numFmtId="0" xfId="0" applyAlignment="1" applyBorder="1" applyFont="1">
      <alignment vertical="center"/>
    </xf>
    <xf borderId="13" fillId="0" fontId="7" numFmtId="0" xfId="0" applyAlignment="1" applyBorder="1" applyFont="1">
      <alignment horizontal="center" vertical="center"/>
    </xf>
    <xf borderId="13" fillId="0" fontId="7" numFmtId="3" xfId="0" applyAlignment="1" applyBorder="1" applyFont="1" applyNumberFormat="1">
      <alignment horizontal="center" vertical="center"/>
    </xf>
    <xf borderId="13" fillId="4" fontId="7" numFmtId="3" xfId="0" applyAlignment="1" applyBorder="1" applyFont="1" applyNumberFormat="1">
      <alignment horizontal="right" vertical="center"/>
    </xf>
    <xf borderId="14" fillId="5" fontId="10" numFmtId="0" xfId="0" applyAlignment="1" applyBorder="1" applyFont="1">
      <alignment horizontal="right" vertical="center"/>
    </xf>
    <xf borderId="15" fillId="0" fontId="9" numFmtId="0" xfId="0" applyBorder="1" applyFont="1"/>
    <xf borderId="16" fillId="0" fontId="9" numFmtId="0" xfId="0" applyBorder="1" applyFont="1"/>
    <xf borderId="9" fillId="6" fontId="11" numFmtId="3" xfId="0" applyAlignment="1" applyBorder="1" applyFont="1" applyNumberFormat="1">
      <alignment horizontal="right" vertical="center"/>
    </xf>
    <xf borderId="0" fillId="0" fontId="7" numFmtId="0" xfId="0" applyAlignment="1" applyFont="1">
      <alignment horizontal="right" vertical="center"/>
    </xf>
    <xf borderId="11" fillId="0" fontId="7" numFmtId="0" xfId="0" applyAlignment="1" applyBorder="1" applyFont="1">
      <alignment horizontal="left" vertical="center"/>
    </xf>
    <xf borderId="11" fillId="0" fontId="7" numFmtId="10" xfId="0" applyAlignment="1" applyBorder="1" applyFont="1" applyNumberFormat="1">
      <alignment horizontal="center" vertical="center"/>
    </xf>
    <xf borderId="11" fillId="0" fontId="7" numFmtId="166" xfId="0" applyAlignment="1" applyBorder="1" applyFont="1" applyNumberFormat="1">
      <alignment horizontal="center" vertical="center"/>
    </xf>
    <xf borderId="8" fillId="0" fontId="7" numFmtId="0" xfId="0" applyAlignment="1" applyBorder="1" applyFont="1">
      <alignment horizontal="left" vertical="center"/>
    </xf>
    <xf borderId="8" fillId="0" fontId="7" numFmtId="10" xfId="0" applyAlignment="1" applyBorder="1" applyFont="1" applyNumberFormat="1">
      <alignment horizontal="center" vertical="center"/>
    </xf>
    <xf borderId="8" fillId="0" fontId="7" numFmtId="0" xfId="0" applyAlignment="1" applyBorder="1" applyFont="1">
      <alignment horizontal="left" readingOrder="0" vertical="center"/>
    </xf>
    <xf borderId="13" fillId="0" fontId="7" numFmtId="0" xfId="0" applyAlignment="1" applyBorder="1" applyFont="1">
      <alignment horizontal="left" readingOrder="0" vertical="center"/>
    </xf>
    <xf borderId="13" fillId="0" fontId="7" numFmtId="0" xfId="0" applyAlignment="1" applyBorder="1" applyFont="1">
      <alignment horizontal="left" vertical="center"/>
    </xf>
    <xf borderId="13" fillId="0" fontId="7" numFmtId="10" xfId="0" applyAlignment="1" applyBorder="1" applyFont="1" applyNumberFormat="1">
      <alignment horizontal="center" vertical="center"/>
    </xf>
    <xf borderId="13" fillId="0" fontId="7" numFmtId="166" xfId="0" applyAlignment="1" applyBorder="1" applyFont="1" applyNumberFormat="1">
      <alignment horizontal="center" vertical="center"/>
    </xf>
    <xf borderId="13" fillId="4" fontId="7" numFmtId="166" xfId="0" applyAlignment="1" applyBorder="1" applyFont="1" applyNumberFormat="1">
      <alignment horizontal="right" vertical="center"/>
    </xf>
    <xf borderId="14" fillId="5" fontId="10" numFmtId="0" xfId="0" applyAlignment="1" applyBorder="1" applyFont="1">
      <alignment horizontal="right" shrinkToFit="0" vertical="center" wrapText="0"/>
    </xf>
    <xf borderId="9" fillId="6" fontId="10" numFmtId="3" xfId="0" applyAlignment="1" applyBorder="1" applyFont="1" applyNumberFormat="1">
      <alignment horizontal="right" vertical="center"/>
    </xf>
    <xf borderId="6" fillId="5" fontId="11" numFmtId="0" xfId="0" applyAlignment="1" applyBorder="1" applyFont="1">
      <alignment horizontal="center" vertical="center"/>
    </xf>
    <xf borderId="17" fillId="0" fontId="9" numFmtId="0" xfId="0" applyBorder="1" applyFont="1"/>
    <xf borderId="13" fillId="6" fontId="12" numFmtId="3" xfId="0" applyAlignment="1" applyBorder="1" applyFont="1" applyNumberFormat="1">
      <alignment horizontal="center" vertical="center"/>
    </xf>
    <xf borderId="0" fillId="0" fontId="1" numFmtId="3" xfId="0" applyAlignment="1" applyFont="1" applyNumberFormat="1">
      <alignment vertical="center"/>
    </xf>
    <xf borderId="11" fillId="0" fontId="9" numFmtId="0" xfId="0" applyBorder="1" applyFont="1"/>
    <xf borderId="0" fillId="0" fontId="13" numFmtId="0" xfId="0" applyAlignment="1" applyFont="1">
      <alignment horizontal="left" vertical="center"/>
    </xf>
    <xf borderId="0" fillId="0" fontId="7" numFmtId="0" xfId="0" applyAlignment="1" applyFont="1">
      <alignment shrinkToFit="0" vertical="center" wrapText="1"/>
    </xf>
    <xf borderId="0" fillId="0" fontId="14" numFmtId="0" xfId="0" applyAlignment="1" applyFont="1">
      <alignment horizontal="center" shrinkToFit="0" vertical="center" wrapText="0"/>
    </xf>
    <xf borderId="18" fillId="0" fontId="1" numFmtId="0" xfId="0" applyAlignment="1" applyBorder="1" applyFont="1">
      <alignment vertical="center"/>
    </xf>
    <xf borderId="19" fillId="0" fontId="14" numFmtId="0" xfId="0" applyAlignment="1" applyBorder="1" applyFont="1">
      <alignment horizontal="center" shrinkToFit="0" vertical="center" wrapText="0"/>
    </xf>
    <xf borderId="19" fillId="0" fontId="9" numFmtId="0" xfId="0" applyBorder="1" applyFont="1"/>
    <xf borderId="20" fillId="0" fontId="1" numFmtId="0" xfId="0" applyAlignment="1" applyBorder="1" applyFont="1">
      <alignment vertical="center"/>
    </xf>
    <xf borderId="0" fillId="0" fontId="1" numFmtId="0" xfId="0" applyFont="1"/>
    <xf borderId="2" fillId="0" fontId="15" numFmtId="0" xfId="0" applyAlignment="1" applyBorder="1" applyFont="1">
      <alignment horizontal="right" shrinkToFit="0" vertical="center" wrapText="0"/>
    </xf>
    <xf borderId="0" fillId="0" fontId="6" numFmtId="0" xfId="0" applyAlignment="1" applyFont="1">
      <alignment vertical="center"/>
    </xf>
    <xf borderId="6" fillId="0" fontId="16" numFmtId="0" xfId="0" applyBorder="1" applyFont="1"/>
    <xf borderId="7" fillId="0" fontId="10" numFmtId="0" xfId="0" applyAlignment="1" applyBorder="1" applyFont="1">
      <alignment shrinkToFit="0" vertical="center" wrapText="0"/>
    </xf>
    <xf borderId="21" fillId="0" fontId="17" numFmtId="0" xfId="0" applyBorder="1" applyFont="1"/>
    <xf borderId="7" fillId="0" fontId="4" numFmtId="0" xfId="0" applyAlignment="1" applyBorder="1" applyFont="1">
      <alignment shrinkToFit="0" vertical="center" wrapText="0"/>
    </xf>
    <xf borderId="6" fillId="0" fontId="7" numFmtId="0" xfId="0" applyAlignment="1" applyBorder="1" applyFont="1">
      <alignment shrinkToFit="0" vertical="center" wrapText="0"/>
    </xf>
    <xf borderId="0" fillId="0" fontId="1" numFmtId="167" xfId="0" applyFont="1" applyNumberFormat="1"/>
    <xf borderId="8" fillId="0" fontId="7" numFmtId="0" xfId="0" applyAlignment="1" applyBorder="1" applyFont="1">
      <alignment horizontal="left" shrinkToFit="0" vertical="center" wrapText="1"/>
    </xf>
    <xf borderId="8" fillId="0" fontId="7" numFmtId="167" xfId="0" applyAlignment="1" applyBorder="1" applyFont="1" applyNumberFormat="1">
      <alignment horizontal="center" vertical="center"/>
    </xf>
    <xf borderId="9" fillId="5" fontId="18" numFmtId="0" xfId="0" applyAlignment="1" applyBorder="1" applyFont="1">
      <alignment vertical="center"/>
    </xf>
    <xf borderId="9" fillId="5" fontId="18" numFmtId="0" xfId="0" applyAlignment="1" applyBorder="1" applyFont="1">
      <alignment horizontal="left" vertical="center"/>
    </xf>
    <xf borderId="9" fillId="5" fontId="10" numFmtId="0" xfId="0" applyAlignment="1" applyBorder="1" applyFont="1">
      <alignment horizontal="center" vertical="center"/>
    </xf>
    <xf borderId="0" fillId="0" fontId="1" numFmtId="1" xfId="0" applyFont="1" applyNumberFormat="1"/>
    <xf borderId="11" fillId="0" fontId="7" numFmtId="3" xfId="0" applyAlignment="1" applyBorder="1" applyFont="1" applyNumberFormat="1">
      <alignment horizontal="right" vertical="center"/>
    </xf>
    <xf borderId="8" fillId="0" fontId="7" numFmtId="3" xfId="0" applyAlignment="1" applyBorder="1" applyFont="1" applyNumberFormat="1">
      <alignment horizontal="right" vertical="center"/>
    </xf>
    <xf borderId="8" fillId="0" fontId="7" numFmtId="166" xfId="0" applyAlignment="1" applyBorder="1" applyFont="1" applyNumberFormat="1">
      <alignment horizontal="center" vertical="center"/>
    </xf>
    <xf borderId="13" fillId="0" fontId="7" numFmtId="166" xfId="0" applyAlignment="1" applyBorder="1" applyFont="1" applyNumberFormat="1">
      <alignment horizontal="right" vertical="center"/>
    </xf>
    <xf borderId="9" fillId="5" fontId="10" numFmtId="0" xfId="0" applyAlignment="1" applyBorder="1" applyFont="1">
      <alignment horizontal="right" shrinkToFit="0" vertical="center" wrapText="0"/>
    </xf>
    <xf borderId="9" fillId="5" fontId="10" numFmtId="3" xfId="0" applyAlignment="1" applyBorder="1" applyFont="1" applyNumberFormat="1">
      <alignment horizontal="right" vertical="center"/>
    </xf>
    <xf borderId="9" fillId="5" fontId="11" numFmtId="0" xfId="0" applyAlignment="1" applyBorder="1" applyFont="1">
      <alignment horizontal="righ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1" width="5.5"/>
    <col customWidth="1" min="2" max="2" width="18.38"/>
    <col customWidth="1" min="3" max="3" width="18.88"/>
    <col customWidth="1" min="4" max="4" width="16.63"/>
    <col customWidth="1" min="5" max="5" width="21.38"/>
    <col customWidth="1" min="6" max="6" width="6.0"/>
  </cols>
  <sheetData>
    <row r="1" ht="45.75" customHeight="1">
      <c r="A1" s="1"/>
      <c r="B1" s="2" t="s">
        <v>0</v>
      </c>
      <c r="C1" s="3"/>
      <c r="D1" s="4"/>
      <c r="E1" s="5" t="s">
        <v>1</v>
      </c>
      <c r="F1" s="6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8"/>
      <c r="B2" s="9" t="s">
        <v>2</v>
      </c>
      <c r="C2" s="10"/>
      <c r="D2" s="11"/>
      <c r="E2" s="11"/>
      <c r="F2" s="12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5.75" customHeight="1">
      <c r="A3" s="8"/>
      <c r="B3" s="13" t="s">
        <v>3</v>
      </c>
      <c r="C3" s="10"/>
      <c r="D3" s="11"/>
      <c r="E3" s="11"/>
      <c r="F3" s="12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8"/>
      <c r="B4" s="14"/>
      <c r="C4" s="10"/>
      <c r="D4" s="11"/>
      <c r="E4" s="11"/>
      <c r="F4" s="12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5.75" customHeight="1">
      <c r="A5" s="8"/>
      <c r="B5" s="15" t="s">
        <v>4</v>
      </c>
      <c r="C5" s="16"/>
      <c r="D5" s="17"/>
      <c r="E5" s="17"/>
      <c r="F5" s="12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5.75" customHeight="1">
      <c r="A6" s="8"/>
      <c r="B6" s="18" t="s">
        <v>5</v>
      </c>
      <c r="C6" s="19"/>
      <c r="D6" s="20" t="s">
        <v>6</v>
      </c>
      <c r="E6" s="20" t="s">
        <v>7</v>
      </c>
      <c r="F6" s="12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5.75" customHeight="1">
      <c r="A7" s="8"/>
      <c r="B7" s="21" t="s">
        <v>8</v>
      </c>
      <c r="C7" s="19"/>
      <c r="D7" s="22">
        <v>46050.0</v>
      </c>
      <c r="E7" s="23">
        <f>D7</f>
        <v>46050</v>
      </c>
      <c r="F7" s="12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5.75" customHeight="1">
      <c r="A8" s="8"/>
      <c r="B8" s="24" t="s">
        <v>9</v>
      </c>
      <c r="C8" s="19"/>
      <c r="D8" s="25" t="s">
        <v>10</v>
      </c>
      <c r="E8" s="20" t="s">
        <v>11</v>
      </c>
      <c r="F8" s="12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5.75" customHeight="1">
      <c r="A9" s="8"/>
      <c r="B9" s="26" t="s">
        <v>12</v>
      </c>
      <c r="C9" s="19"/>
      <c r="D9" s="27"/>
      <c r="E9" s="27"/>
      <c r="F9" s="12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5.75" customHeight="1">
      <c r="A10" s="8"/>
      <c r="B10" s="28"/>
      <c r="C10" s="16"/>
      <c r="D10" s="29"/>
      <c r="E10" s="29"/>
      <c r="F10" s="12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5.75" customHeight="1">
      <c r="A11" s="8"/>
      <c r="B11" s="30"/>
      <c r="C11" s="29"/>
      <c r="D11" s="29" t="s">
        <v>13</v>
      </c>
      <c r="E11" s="31" t="s">
        <v>14</v>
      </c>
      <c r="F11" s="12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5.75" customHeight="1">
      <c r="A12" s="8"/>
      <c r="B12" s="30"/>
      <c r="C12" s="16"/>
      <c r="D12" s="29" t="s">
        <v>15</v>
      </c>
      <c r="E12" s="31" t="s">
        <v>16</v>
      </c>
      <c r="F12" s="12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5.75" customHeight="1">
      <c r="A13" s="8"/>
      <c r="B13" s="17"/>
      <c r="C13" s="16"/>
      <c r="D13" s="29"/>
      <c r="E13" s="29"/>
      <c r="F13" s="12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5.75" customHeight="1">
      <c r="A14" s="8"/>
      <c r="B14" s="32" t="s">
        <v>17</v>
      </c>
      <c r="C14" s="33" t="s">
        <v>18</v>
      </c>
      <c r="D14" s="33" t="s">
        <v>19</v>
      </c>
      <c r="E14" s="34" t="s">
        <v>20</v>
      </c>
      <c r="F14" s="12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5.75" customHeight="1">
      <c r="A15" s="8"/>
      <c r="B15" s="35" t="s">
        <v>21</v>
      </c>
      <c r="C15" s="36">
        <v>21.0</v>
      </c>
      <c r="D15" s="37">
        <v>6420881.0</v>
      </c>
      <c r="E15" s="38">
        <f t="shared" ref="E15:E18" si="1">D15</f>
        <v>6420881</v>
      </c>
      <c r="F15" s="12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5.75" customHeight="1">
      <c r="A16" s="8"/>
      <c r="B16" s="39" t="s">
        <v>22</v>
      </c>
      <c r="C16" s="40">
        <f>D16/37500</f>
        <v>0</v>
      </c>
      <c r="D16" s="41">
        <v>0.0</v>
      </c>
      <c r="E16" s="42">
        <f t="shared" si="1"/>
        <v>0</v>
      </c>
      <c r="F16" s="12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39.0" customHeight="1">
      <c r="A17" s="8"/>
      <c r="B17" s="43" t="s">
        <v>23</v>
      </c>
      <c r="C17" s="44">
        <v>0.0</v>
      </c>
      <c r="D17" s="45">
        <v>0.0</v>
      </c>
      <c r="E17" s="42">
        <f t="shared" si="1"/>
        <v>0</v>
      </c>
      <c r="F17" s="12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5.75" customHeight="1">
      <c r="A18" s="8"/>
      <c r="B18" s="39" t="s">
        <v>24</v>
      </c>
      <c r="C18" s="44">
        <v>0.0</v>
      </c>
      <c r="D18" s="45">
        <v>0.0</v>
      </c>
      <c r="E18" s="42">
        <f t="shared" si="1"/>
        <v>0</v>
      </c>
      <c r="F18" s="12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5.75" customHeight="1">
      <c r="A19" s="8"/>
      <c r="B19" s="39" t="s">
        <v>25</v>
      </c>
      <c r="C19" s="44">
        <v>0.0</v>
      </c>
      <c r="D19" s="45">
        <v>0.0</v>
      </c>
      <c r="E19" s="42">
        <f>C19*D19</f>
        <v>0</v>
      </c>
      <c r="F19" s="12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5.75" customHeight="1">
      <c r="A20" s="8"/>
      <c r="B20" s="39" t="s">
        <v>26</v>
      </c>
      <c r="C20" s="44">
        <v>0.0</v>
      </c>
      <c r="D20" s="41">
        <f>((4%*D15)+(0.24%*D15)+(0.3%*D15))</f>
        <v>291507.9974</v>
      </c>
      <c r="E20" s="42">
        <f>D20</f>
        <v>291507.9974</v>
      </c>
      <c r="F20" s="12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5.75" customHeight="1">
      <c r="A21" s="8"/>
      <c r="B21" s="46" t="s">
        <v>27</v>
      </c>
      <c r="C21" s="47">
        <v>0.0</v>
      </c>
      <c r="D21" s="48">
        <v>0.0</v>
      </c>
      <c r="E21" s="49">
        <v>0.0</v>
      </c>
      <c r="F21" s="12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5.75" customHeight="1">
      <c r="A22" s="8"/>
      <c r="B22" s="50" t="s">
        <v>28</v>
      </c>
      <c r="C22" s="51"/>
      <c r="D22" s="52"/>
      <c r="E22" s="53">
        <f>SUM(E15:E21)</f>
        <v>6712388.997</v>
      </c>
      <c r="F22" s="12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5.75" customHeight="1">
      <c r="A23" s="8"/>
      <c r="B23" s="17"/>
      <c r="C23" s="16"/>
      <c r="D23" s="16"/>
      <c r="E23" s="54"/>
      <c r="F23" s="12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5.75" customHeight="1">
      <c r="A24" s="8"/>
      <c r="B24" s="32" t="s">
        <v>29</v>
      </c>
      <c r="C24" s="33" t="s">
        <v>30</v>
      </c>
      <c r="D24" s="33" t="s">
        <v>31</v>
      </c>
      <c r="E24" s="34" t="s">
        <v>20</v>
      </c>
      <c r="F24" s="12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8"/>
      <c r="B25" s="55" t="s">
        <v>32</v>
      </c>
      <c r="C25" s="56">
        <v>0.01</v>
      </c>
      <c r="D25" s="57">
        <f>C25*E22</f>
        <v>67123.88997</v>
      </c>
      <c r="E25" s="38">
        <f t="shared" ref="E25:E27" si="2">D25</f>
        <v>67123.88997</v>
      </c>
      <c r="F25" s="12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5.75" customHeight="1">
      <c r="A26" s="8"/>
      <c r="B26" s="58" t="s">
        <v>33</v>
      </c>
      <c r="C26" s="59">
        <v>0.02</v>
      </c>
      <c r="D26" s="45">
        <f>C26*D15</f>
        <v>128417.62</v>
      </c>
      <c r="E26" s="42">
        <f t="shared" si="2"/>
        <v>128417.62</v>
      </c>
      <c r="F26" s="12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5.75" customHeight="1">
      <c r="A27" s="8"/>
      <c r="B27" s="58" t="s">
        <v>34</v>
      </c>
      <c r="C27" s="59">
        <v>0.01</v>
      </c>
      <c r="D27" s="45">
        <f>C27*D15</f>
        <v>64208.81</v>
      </c>
      <c r="E27" s="42">
        <f t="shared" si="2"/>
        <v>64208.81</v>
      </c>
      <c r="F27" s="12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5.75" customHeight="1">
      <c r="A28" s="8"/>
      <c r="B28" s="60" t="s">
        <v>35</v>
      </c>
      <c r="C28" s="59">
        <v>0.0</v>
      </c>
      <c r="D28" s="45">
        <v>0.0</v>
      </c>
      <c r="E28" s="42">
        <f>C28*D28</f>
        <v>0</v>
      </c>
      <c r="F28" s="12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8"/>
      <c r="B29" s="61" t="s">
        <v>27</v>
      </c>
      <c r="C29" s="59">
        <v>0.0</v>
      </c>
      <c r="D29" s="45">
        <v>0.0</v>
      </c>
      <c r="E29" s="49"/>
      <c r="F29" s="12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8"/>
      <c r="B30" s="62" t="s">
        <v>36</v>
      </c>
      <c r="C30" s="63">
        <v>0.0</v>
      </c>
      <c r="D30" s="64">
        <v>-75625.0</v>
      </c>
      <c r="E30" s="65">
        <f>D30</f>
        <v>-75625</v>
      </c>
      <c r="F30" s="12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8"/>
      <c r="B31" s="66" t="s">
        <v>37</v>
      </c>
      <c r="C31" s="51"/>
      <c r="D31" s="52"/>
      <c r="E31" s="67">
        <f>sum(E25:E30)</f>
        <v>184125.32</v>
      </c>
      <c r="F31" s="12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8"/>
      <c r="B32" s="17"/>
      <c r="C32" s="16"/>
      <c r="D32" s="16"/>
      <c r="E32" s="54"/>
      <c r="F32" s="12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8"/>
      <c r="B33" s="68" t="s">
        <v>38</v>
      </c>
      <c r="C33" s="69"/>
      <c r="D33" s="19"/>
      <c r="E33" s="70">
        <f>sum(E15:E16)-E31</f>
        <v>6236755.68</v>
      </c>
      <c r="F33" s="12"/>
      <c r="G33" s="7"/>
      <c r="H33" s="71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8"/>
      <c r="B34" s="68" t="s">
        <v>39</v>
      </c>
      <c r="C34" s="69"/>
      <c r="D34" s="19"/>
      <c r="E34" s="72"/>
      <c r="F34" s="12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8"/>
      <c r="B35" s="17"/>
      <c r="C35" s="16"/>
      <c r="D35" s="16"/>
      <c r="E35" s="73"/>
      <c r="F35" s="12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8"/>
      <c r="B36" s="17"/>
      <c r="C36" s="16"/>
      <c r="D36" s="16"/>
      <c r="E36" s="73"/>
      <c r="F36" s="12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8"/>
      <c r="B37" s="17"/>
      <c r="C37" s="16"/>
      <c r="D37" s="16"/>
      <c r="E37" s="73"/>
      <c r="F37" s="12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8"/>
      <c r="B38" s="74" t="s">
        <v>40</v>
      </c>
      <c r="E38" s="73"/>
      <c r="F38" s="12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8"/>
      <c r="E39" s="73"/>
      <c r="F39" s="12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8"/>
      <c r="B40" s="17"/>
      <c r="C40" s="16"/>
      <c r="D40" s="16"/>
      <c r="E40" s="73"/>
      <c r="F40" s="12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8"/>
      <c r="B41" s="17"/>
      <c r="C41" s="16"/>
      <c r="D41" s="16"/>
      <c r="E41" s="73"/>
      <c r="F41" s="12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8"/>
      <c r="B42" s="17"/>
      <c r="C42" s="16"/>
      <c r="D42" s="16"/>
      <c r="E42" s="73"/>
      <c r="F42" s="12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8"/>
      <c r="B43" s="17"/>
      <c r="C43" s="16"/>
      <c r="D43" s="16"/>
      <c r="E43" s="73"/>
      <c r="F43" s="12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8"/>
      <c r="B44" s="17"/>
      <c r="C44" s="16"/>
      <c r="D44" s="16"/>
      <c r="E44" s="73"/>
      <c r="F44" s="12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8"/>
      <c r="B45" s="17"/>
      <c r="C45" s="16"/>
      <c r="D45" s="16"/>
      <c r="E45" s="73"/>
      <c r="F45" s="12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8"/>
      <c r="B46" s="17"/>
      <c r="C46" s="16"/>
      <c r="D46" s="16"/>
      <c r="E46" s="73"/>
      <c r="F46" s="12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8"/>
      <c r="B47" s="17"/>
      <c r="C47" s="16"/>
      <c r="D47" s="16"/>
      <c r="E47" s="73"/>
      <c r="F47" s="12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8"/>
      <c r="B48" s="75" t="s">
        <v>41</v>
      </c>
      <c r="F48" s="12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6"/>
      <c r="B49" s="77" t="s">
        <v>42</v>
      </c>
      <c r="C49" s="78"/>
      <c r="D49" s="78"/>
      <c r="E49" s="78"/>
      <c r="F49" s="79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15.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15.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15.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15.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15.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15.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15.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15.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15.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15.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15.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15.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15.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15.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15.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15.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15.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15.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15.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15.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15.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15.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15.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15.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15.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15.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15.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15.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15.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15.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15.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15.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15.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15.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15.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15.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15.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15.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15.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15.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15.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15.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15.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15.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15.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15.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15.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15.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15.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15.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15.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15.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15.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15.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15.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15.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15.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15.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15.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15.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15.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15.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15.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15.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15.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15.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15.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15.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15.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15.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15.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15.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15.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15.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15.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15.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15.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15.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15.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15.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15.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15.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15.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15.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15.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15.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15.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15.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15.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15.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15.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15.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15.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15.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15.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15.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15.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15.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15.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15.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15.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15.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15.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15.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15.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15.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15.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15.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15.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15.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15.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15.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15.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15.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15.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15.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15.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15.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15.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15.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15.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15.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15.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15.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15.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15.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15.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15.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15.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15.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15.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15.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15.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15.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15.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15.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15.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15.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15.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15.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15.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15.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15.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15.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15.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15.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15.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15.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15.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15.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15.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15.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15.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15.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15.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15.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15.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15.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15.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15.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15.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15.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15.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15.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15.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15.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15.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15.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15.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15.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15.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15.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15.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15.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15.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15.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15.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15.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15.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15.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15.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15.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15.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15.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15.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15.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15.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15.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15.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15.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15.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15.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15.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15.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15.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15.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15.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15.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15.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15.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15.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15.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15.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15.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15.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15.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15.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15.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15.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15.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15.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15.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15.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15.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15.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15.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15.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15.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15.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15.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15.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15.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15.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15.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15.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15.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15.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15.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15.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15.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15.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15.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15.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15.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15.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15.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15.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15.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15.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15.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15.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15.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15.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15.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15.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15.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15.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15.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15.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15.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15.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15.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15.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15.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15.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15.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15.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15.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15.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15.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15.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15.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15.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15.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15.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15.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15.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15.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15.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15.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15.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15.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15.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15.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15.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15.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15.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15.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15.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15.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15.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15.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15.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15.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15.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15.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15.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15.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15.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15.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15.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15.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15.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15.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15.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15.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15.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15.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15.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15.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15.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15.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15.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15.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15.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15.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15.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15.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15.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15.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15.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15.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15.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15.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15.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15.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15.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15.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15.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15.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15.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15.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15.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15.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15.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15.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15.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15.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15.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15.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15.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15.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15.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15.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15.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15.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15.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15.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15.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15.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15.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15.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15.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15.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15.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15.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15.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15.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15.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15.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15.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15.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15.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15.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15.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15.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15.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15.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15.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15.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15.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15.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15.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15.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15.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15.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ht="15.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ht="15.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ht="15.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ht="15.7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ht="15.7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15.7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ht="15.75" customHeight="1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ht="15.75" customHeight="1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ht="15.75" customHeight="1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ht="15.75" customHeight="1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ht="15.75" customHeight="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ht="15.75" customHeight="1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ht="15.75" customHeight="1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ht="15.75" customHeight="1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 ht="15.75" customHeight="1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 ht="15.75" customHeight="1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</sheetData>
  <mergeCells count="12">
    <mergeCell ref="B38:D39"/>
    <mergeCell ref="B48:E48"/>
    <mergeCell ref="B49:E49"/>
    <mergeCell ref="B31:D31"/>
    <mergeCell ref="B22:D22"/>
    <mergeCell ref="B6:C6"/>
    <mergeCell ref="B7:C7"/>
    <mergeCell ref="B8:C8"/>
    <mergeCell ref="B9:C9"/>
    <mergeCell ref="B33:D33"/>
    <mergeCell ref="E33:E34"/>
    <mergeCell ref="B34:D34"/>
  </mergeCells>
  <printOptions horizontalCentered="1"/>
  <pageMargins bottom="0.75" footer="0.0" header="0.0" left="0.7" right="0.7" top="0.75"/>
  <pageSetup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1" max="2" width="5.5"/>
    <col customWidth="1" min="3" max="3" width="18.38"/>
    <col customWidth="1" min="4" max="4" width="18.88"/>
    <col customWidth="1" min="5" max="5" width="16.63"/>
    <col customWidth="1" min="6" max="6" width="21.38"/>
    <col customWidth="1" min="7" max="7" width="6.0"/>
  </cols>
  <sheetData>
    <row r="1" ht="15.75" customHeight="1">
      <c r="A1" s="80"/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ht="36.75" customHeight="1">
      <c r="A2" s="80"/>
      <c r="B2" s="1"/>
      <c r="C2" s="2" t="s">
        <v>0</v>
      </c>
      <c r="D2" s="3"/>
      <c r="E2" s="4"/>
      <c r="F2" s="81" t="s">
        <v>1</v>
      </c>
      <c r="G2" s="6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3" ht="15.75" customHeight="1">
      <c r="A3" s="80"/>
      <c r="B3" s="8"/>
      <c r="C3" s="30" t="s">
        <v>2</v>
      </c>
      <c r="D3" s="10"/>
      <c r="E3" s="11"/>
      <c r="F3" s="11"/>
      <c r="G3" s="12"/>
      <c r="H3" s="80"/>
      <c r="I3" s="80"/>
      <c r="J3" s="80"/>
      <c r="K3" s="80"/>
      <c r="L3" s="80"/>
      <c r="M3" s="80"/>
      <c r="N3" s="80"/>
      <c r="O3" s="80"/>
      <c r="P3" s="80"/>
      <c r="Q3" s="80"/>
      <c r="R3" s="80"/>
      <c r="S3" s="80"/>
      <c r="T3" s="80"/>
      <c r="U3" s="80"/>
      <c r="V3" s="80"/>
      <c r="W3" s="80"/>
      <c r="X3" s="80"/>
      <c r="Y3" s="80"/>
      <c r="Z3" s="80"/>
    </row>
    <row r="4" ht="15.75" customHeight="1">
      <c r="A4" s="80"/>
      <c r="B4" s="8"/>
      <c r="C4" s="14" t="s">
        <v>3</v>
      </c>
      <c r="D4" s="10"/>
      <c r="E4" s="11"/>
      <c r="F4" s="11"/>
      <c r="G4" s="12"/>
      <c r="H4" s="80"/>
      <c r="I4" s="80"/>
      <c r="J4" s="80"/>
      <c r="K4" s="80"/>
      <c r="L4" s="80"/>
      <c r="M4" s="80"/>
      <c r="N4" s="80"/>
      <c r="O4" s="80"/>
      <c r="P4" s="80"/>
      <c r="Q4" s="80"/>
      <c r="R4" s="80"/>
      <c r="S4" s="80"/>
      <c r="T4" s="80"/>
      <c r="U4" s="80"/>
      <c r="V4" s="80"/>
      <c r="W4" s="80"/>
      <c r="X4" s="80"/>
      <c r="Y4" s="80"/>
      <c r="Z4" s="80"/>
    </row>
    <row r="5" ht="15.75" customHeight="1">
      <c r="A5" s="80"/>
      <c r="B5" s="8"/>
      <c r="C5" s="14"/>
      <c r="D5" s="10"/>
      <c r="E5" s="11"/>
      <c r="F5" s="11"/>
      <c r="G5" s="12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</row>
    <row r="6" ht="15.75" customHeight="1">
      <c r="A6" s="80"/>
      <c r="B6" s="8"/>
      <c r="C6" s="82" t="s">
        <v>43</v>
      </c>
      <c r="D6" s="16"/>
      <c r="E6" s="17"/>
      <c r="F6" s="17"/>
      <c r="G6" s="12"/>
      <c r="H6" s="80"/>
      <c r="I6" s="80"/>
      <c r="J6" s="80"/>
      <c r="K6" s="80"/>
      <c r="L6" s="80"/>
      <c r="M6" s="80"/>
      <c r="N6" s="80"/>
      <c r="O6" s="80"/>
      <c r="P6" s="80"/>
      <c r="Q6" s="80"/>
      <c r="R6" s="80"/>
      <c r="S6" s="80"/>
      <c r="T6" s="80"/>
      <c r="U6" s="80"/>
      <c r="V6" s="80"/>
      <c r="W6" s="80"/>
      <c r="X6" s="80"/>
      <c r="Y6" s="80"/>
      <c r="Z6" s="80"/>
    </row>
    <row r="7" ht="15.75" customHeight="1">
      <c r="A7" s="80"/>
      <c r="B7" s="8"/>
      <c r="C7" s="18" t="s">
        <v>5</v>
      </c>
      <c r="D7" s="19"/>
      <c r="E7" s="20" t="s">
        <v>6</v>
      </c>
      <c r="F7" s="20" t="s">
        <v>7</v>
      </c>
      <c r="G7" s="12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</row>
    <row r="8" ht="15.75" customHeight="1">
      <c r="A8" s="80"/>
      <c r="B8" s="8"/>
      <c r="C8" s="83" t="s">
        <v>44</v>
      </c>
      <c r="D8" s="84"/>
      <c r="E8" s="22">
        <v>45866.0</v>
      </c>
      <c r="F8" s="23">
        <v>45866.0</v>
      </c>
      <c r="G8" s="12"/>
      <c r="H8" s="80"/>
      <c r="I8" s="80"/>
      <c r="J8" s="80"/>
      <c r="K8" s="80"/>
      <c r="L8" s="80"/>
      <c r="M8" s="80"/>
      <c r="N8" s="80"/>
      <c r="O8" s="80"/>
      <c r="P8" s="80"/>
      <c r="Q8" s="80"/>
      <c r="R8" s="80"/>
      <c r="S8" s="80"/>
      <c r="T8" s="80"/>
      <c r="U8" s="80"/>
      <c r="V8" s="80"/>
      <c r="W8" s="80"/>
      <c r="X8" s="80"/>
      <c r="Y8" s="80"/>
      <c r="Z8" s="80"/>
    </row>
    <row r="9" ht="15.75" customHeight="1">
      <c r="A9" s="80"/>
      <c r="B9" s="8"/>
      <c r="C9" s="85" t="s">
        <v>45</v>
      </c>
      <c r="D9" s="86"/>
      <c r="E9" s="20" t="s">
        <v>46</v>
      </c>
      <c r="F9" s="20" t="s">
        <v>47</v>
      </c>
      <c r="G9" s="12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</row>
    <row r="10" ht="15.75" customHeight="1">
      <c r="A10" s="80"/>
      <c r="B10" s="8"/>
      <c r="C10" s="87" t="s">
        <v>48</v>
      </c>
      <c r="D10" s="19"/>
      <c r="E10" s="27" t="s">
        <v>49</v>
      </c>
      <c r="F10" s="27" t="s">
        <v>50</v>
      </c>
      <c r="G10" s="12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</row>
    <row r="11" ht="15.75" customHeight="1">
      <c r="A11" s="80"/>
      <c r="B11" s="8"/>
      <c r="C11" s="28"/>
      <c r="D11" s="16"/>
      <c r="E11" s="29"/>
      <c r="F11" s="29"/>
      <c r="G11" s="12"/>
      <c r="H11" s="80"/>
      <c r="I11" s="80"/>
      <c r="J11" s="80"/>
      <c r="K11" s="80"/>
      <c r="L11" s="80"/>
      <c r="M11" s="80"/>
      <c r="N11" s="80"/>
      <c r="O11" s="80"/>
      <c r="P11" s="80"/>
      <c r="Q11" s="80"/>
      <c r="R11" s="80"/>
      <c r="S11" s="80"/>
      <c r="T11" s="80"/>
      <c r="U11" s="80"/>
      <c r="V11" s="80"/>
      <c r="W11" s="80"/>
      <c r="X11" s="80"/>
      <c r="Y11" s="80"/>
      <c r="Z11" s="80"/>
    </row>
    <row r="12" ht="15.75" customHeight="1">
      <c r="A12" s="80"/>
      <c r="B12" s="8"/>
      <c r="C12" s="13" t="s">
        <v>51</v>
      </c>
      <c r="D12" s="29">
        <v>2.0</v>
      </c>
      <c r="E12" s="29" t="s">
        <v>13</v>
      </c>
      <c r="F12" s="31" t="s">
        <v>14</v>
      </c>
      <c r="G12" s="12"/>
      <c r="H12" s="80"/>
      <c r="I12" s="80"/>
      <c r="J12" s="80"/>
      <c r="K12" s="80"/>
      <c r="L12" s="80"/>
      <c r="M12" s="80"/>
      <c r="N12" s="80"/>
      <c r="O12" s="80"/>
      <c r="P12" s="80"/>
      <c r="Q12" s="80"/>
      <c r="R12" s="80"/>
      <c r="S12" s="80"/>
      <c r="T12" s="80"/>
      <c r="U12" s="80"/>
      <c r="V12" s="80"/>
      <c r="W12" s="80"/>
      <c r="X12" s="80"/>
      <c r="Y12" s="80"/>
      <c r="Z12" s="80"/>
    </row>
    <row r="13" ht="15.75" customHeight="1">
      <c r="A13" s="80"/>
      <c r="B13" s="8"/>
      <c r="C13" s="17"/>
      <c r="D13" s="16"/>
      <c r="E13" s="29" t="s">
        <v>15</v>
      </c>
      <c r="F13" s="31" t="s">
        <v>16</v>
      </c>
      <c r="G13" s="12"/>
      <c r="H13" s="80"/>
      <c r="I13" s="80"/>
      <c r="J13" s="80"/>
      <c r="K13" s="88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</row>
    <row r="14" ht="15.75" customHeight="1">
      <c r="A14" s="80"/>
      <c r="B14" s="8"/>
      <c r="C14" s="17"/>
      <c r="D14" s="16"/>
      <c r="E14" s="29"/>
      <c r="F14" s="29"/>
      <c r="G14" s="12"/>
      <c r="H14" s="80"/>
      <c r="I14" s="80"/>
      <c r="J14" s="80"/>
      <c r="K14" s="80"/>
      <c r="L14" s="80"/>
      <c r="M14" s="80"/>
      <c r="N14" s="80"/>
      <c r="O14" s="80"/>
      <c r="P14" s="80"/>
      <c r="Q14" s="80"/>
      <c r="R14" s="80"/>
      <c r="S14" s="80"/>
      <c r="T14" s="80"/>
      <c r="U14" s="80"/>
      <c r="V14" s="80"/>
      <c r="W14" s="80"/>
      <c r="X14" s="80"/>
      <c r="Y14" s="80"/>
      <c r="Z14" s="80"/>
    </row>
    <row r="15" ht="15.75" customHeight="1">
      <c r="A15" s="80"/>
      <c r="B15" s="8"/>
      <c r="C15" s="32" t="s">
        <v>17</v>
      </c>
      <c r="D15" s="33" t="s">
        <v>52</v>
      </c>
      <c r="E15" s="33" t="s">
        <v>19</v>
      </c>
      <c r="F15" s="34" t="s">
        <v>53</v>
      </c>
      <c r="G15" s="12"/>
      <c r="H15" s="80"/>
      <c r="I15" s="80"/>
      <c r="J15" s="80"/>
      <c r="K15" s="80"/>
      <c r="L15" s="80"/>
      <c r="M15" s="80"/>
      <c r="N15" s="80"/>
      <c r="O15" s="80"/>
      <c r="P15" s="80"/>
      <c r="Q15" s="80"/>
      <c r="R15" s="80"/>
      <c r="S15" s="80"/>
      <c r="T15" s="80"/>
      <c r="U15" s="80"/>
      <c r="V15" s="80"/>
      <c r="W15" s="80"/>
      <c r="X15" s="80"/>
      <c r="Y15" s="80"/>
      <c r="Z15" s="80"/>
    </row>
    <row r="16" ht="15.75" customHeight="1">
      <c r="A16" s="80"/>
      <c r="B16" s="8"/>
      <c r="C16" s="55" t="s">
        <v>21</v>
      </c>
      <c r="D16" s="36">
        <v>20.0</v>
      </c>
      <c r="E16" s="37">
        <v>5379497.0</v>
      </c>
      <c r="F16" s="38">
        <f t="shared" ref="F16:F20" si="1">E16</f>
        <v>5379497</v>
      </c>
      <c r="G16" s="12"/>
      <c r="H16" s="80"/>
      <c r="I16" s="80"/>
      <c r="J16" s="80"/>
      <c r="K16" s="80"/>
      <c r="L16" s="80"/>
      <c r="M16" s="80"/>
      <c r="N16" s="80"/>
      <c r="O16" s="80"/>
      <c r="P16" s="80"/>
      <c r="Q16" s="80"/>
      <c r="R16" s="80"/>
      <c r="S16" s="80"/>
      <c r="T16" s="80"/>
      <c r="U16" s="80"/>
      <c r="V16" s="80"/>
      <c r="W16" s="80"/>
      <c r="X16" s="80"/>
      <c r="Y16" s="80"/>
      <c r="Z16" s="80"/>
    </row>
    <row r="17" ht="15.75" customHeight="1">
      <c r="A17" s="80"/>
      <c r="B17" s="8"/>
      <c r="C17" s="58" t="s">
        <v>22</v>
      </c>
      <c r="D17" s="44">
        <f>E17/37500</f>
        <v>57.5</v>
      </c>
      <c r="E17" s="45">
        <v>2156250.0</v>
      </c>
      <c r="F17" s="42">
        <f t="shared" si="1"/>
        <v>2156250</v>
      </c>
      <c r="G17" s="12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</row>
    <row r="18" ht="15.75" customHeight="1">
      <c r="A18" s="80"/>
      <c r="B18" s="8"/>
      <c r="C18" s="58" t="s">
        <v>54</v>
      </c>
      <c r="D18" s="44">
        <v>0.0</v>
      </c>
      <c r="E18" s="45">
        <v>0.0</v>
      </c>
      <c r="F18" s="42">
        <f t="shared" si="1"/>
        <v>0</v>
      </c>
      <c r="G18" s="12"/>
      <c r="H18" s="80"/>
      <c r="I18" s="80"/>
      <c r="J18" s="80"/>
      <c r="K18" s="80"/>
      <c r="L18" s="80"/>
      <c r="M18" s="80"/>
      <c r="N18" s="80"/>
      <c r="O18" s="80"/>
      <c r="P18" s="80"/>
      <c r="Q18" s="80"/>
      <c r="R18" s="80"/>
      <c r="S18" s="80"/>
      <c r="T18" s="80"/>
      <c r="U18" s="80"/>
      <c r="V18" s="80"/>
      <c r="W18" s="80"/>
      <c r="X18" s="80"/>
      <c r="Y18" s="80"/>
      <c r="Z18" s="80"/>
    </row>
    <row r="19" ht="39.0" customHeight="1">
      <c r="A19" s="80"/>
      <c r="B19" s="8"/>
      <c r="C19" s="89" t="s">
        <v>55</v>
      </c>
      <c r="D19" s="44">
        <v>0.0</v>
      </c>
      <c r="E19" s="45">
        <v>0.0</v>
      </c>
      <c r="F19" s="42">
        <f t="shared" si="1"/>
        <v>0</v>
      </c>
      <c r="G19" s="12"/>
      <c r="H19" s="80"/>
      <c r="I19" s="80"/>
      <c r="J19" s="80"/>
      <c r="K19" s="80"/>
      <c r="L19" s="80"/>
      <c r="M19" s="80"/>
      <c r="N19" s="88"/>
      <c r="O19" s="80"/>
      <c r="P19" s="80"/>
      <c r="Q19" s="80"/>
      <c r="R19" s="80"/>
      <c r="S19" s="80"/>
      <c r="T19" s="80"/>
      <c r="U19" s="80"/>
      <c r="V19" s="80"/>
      <c r="W19" s="80"/>
      <c r="X19" s="80"/>
      <c r="Y19" s="80"/>
      <c r="Z19" s="80"/>
    </row>
    <row r="20" ht="15.75" customHeight="1">
      <c r="A20" s="80"/>
      <c r="B20" s="8"/>
      <c r="C20" s="58" t="s">
        <v>24</v>
      </c>
      <c r="D20" s="44">
        <v>0.0</v>
      </c>
      <c r="E20" s="45">
        <v>0.0</v>
      </c>
      <c r="F20" s="42">
        <f t="shared" si="1"/>
        <v>0</v>
      </c>
      <c r="G20" s="12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  <c r="T20" s="80"/>
      <c r="U20" s="80"/>
      <c r="V20" s="80"/>
      <c r="W20" s="80"/>
      <c r="X20" s="80"/>
      <c r="Y20" s="80"/>
      <c r="Z20" s="80"/>
    </row>
    <row r="21" ht="15.75" customHeight="1">
      <c r="A21" s="80"/>
      <c r="B21" s="8"/>
      <c r="C21" s="58" t="s">
        <v>25</v>
      </c>
      <c r="D21" s="44">
        <v>0.0</v>
      </c>
      <c r="E21" s="45">
        <v>0.0</v>
      </c>
      <c r="F21" s="42">
        <f>D21*E21</f>
        <v>0</v>
      </c>
      <c r="G21" s="12"/>
      <c r="H21" s="80"/>
      <c r="I21" s="80"/>
      <c r="J21" s="80"/>
      <c r="K21" s="80"/>
      <c r="L21" s="80"/>
      <c r="M21" s="80"/>
      <c r="N21" s="88"/>
      <c r="O21" s="80"/>
      <c r="P21" s="80"/>
      <c r="Q21" s="80"/>
      <c r="R21" s="80"/>
      <c r="S21" s="80"/>
      <c r="T21" s="80"/>
      <c r="U21" s="80"/>
      <c r="V21" s="80"/>
      <c r="W21" s="80"/>
      <c r="X21" s="80"/>
      <c r="Y21" s="80"/>
      <c r="Z21" s="80"/>
    </row>
    <row r="22" ht="15.75" customHeight="1">
      <c r="A22" s="80"/>
      <c r="B22" s="8"/>
      <c r="C22" s="58" t="s">
        <v>26</v>
      </c>
      <c r="D22" s="44">
        <v>0.0</v>
      </c>
      <c r="E22" s="90">
        <v>244229.2838</v>
      </c>
      <c r="F22" s="42">
        <f>E22</f>
        <v>244229.2838</v>
      </c>
      <c r="G22" s="12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  <c r="T22" s="80"/>
      <c r="U22" s="80"/>
      <c r="V22" s="80"/>
      <c r="W22" s="80"/>
      <c r="X22" s="80"/>
      <c r="Y22" s="80"/>
      <c r="Z22" s="80"/>
    </row>
    <row r="23" ht="15.75" customHeight="1">
      <c r="A23" s="80"/>
      <c r="B23" s="8"/>
      <c r="C23" s="62" t="s">
        <v>27</v>
      </c>
      <c r="D23" s="47">
        <v>0.0</v>
      </c>
      <c r="E23" s="48">
        <v>0.0</v>
      </c>
      <c r="F23" s="49">
        <v>0.0</v>
      </c>
      <c r="G23" s="12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  <c r="T23" s="80"/>
      <c r="U23" s="80"/>
      <c r="V23" s="80"/>
      <c r="W23" s="80"/>
      <c r="X23" s="80"/>
      <c r="Y23" s="80"/>
      <c r="Z23" s="80"/>
    </row>
    <row r="24" ht="15.75" customHeight="1">
      <c r="A24" s="80"/>
      <c r="B24" s="8"/>
      <c r="C24" s="91"/>
      <c r="D24" s="92"/>
      <c r="E24" s="93" t="s">
        <v>56</v>
      </c>
      <c r="F24" s="53">
        <f>SUM(F16:F23)</f>
        <v>7779976.284</v>
      </c>
      <c r="G24" s="12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80"/>
      <c r="S24" s="80"/>
      <c r="T24" s="80"/>
      <c r="U24" s="80"/>
      <c r="V24" s="80"/>
      <c r="W24" s="80"/>
      <c r="X24" s="80"/>
      <c r="Y24" s="80"/>
      <c r="Z24" s="80"/>
    </row>
    <row r="25" ht="15.75" customHeight="1">
      <c r="A25" s="80"/>
      <c r="B25" s="8"/>
      <c r="C25" s="17"/>
      <c r="D25" s="16"/>
      <c r="E25" s="16"/>
      <c r="F25" s="54"/>
      <c r="G25" s="12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80"/>
      <c r="S25" s="80"/>
      <c r="T25" s="80"/>
      <c r="U25" s="80"/>
      <c r="V25" s="80"/>
      <c r="W25" s="80"/>
      <c r="X25" s="80"/>
      <c r="Y25" s="80"/>
      <c r="Z25" s="80"/>
    </row>
    <row r="26" ht="15.75" customHeight="1">
      <c r="A26" s="80"/>
      <c r="B26" s="8"/>
      <c r="C26" s="32" t="s">
        <v>29</v>
      </c>
      <c r="D26" s="33" t="s">
        <v>57</v>
      </c>
      <c r="E26" s="33" t="s">
        <v>58</v>
      </c>
      <c r="F26" s="34" t="s">
        <v>53</v>
      </c>
      <c r="G26" s="12"/>
      <c r="H26" s="80"/>
      <c r="I26" s="80"/>
      <c r="J26" s="94"/>
      <c r="K26" s="80"/>
      <c r="L26" s="80"/>
      <c r="M26" s="80"/>
      <c r="N26" s="80"/>
      <c r="O26" s="80"/>
      <c r="P26" s="80"/>
      <c r="Q26" s="80"/>
      <c r="R26" s="80"/>
      <c r="S26" s="80"/>
      <c r="T26" s="80"/>
      <c r="U26" s="80"/>
      <c r="V26" s="80"/>
      <c r="W26" s="80"/>
      <c r="X26" s="80"/>
      <c r="Y26" s="80"/>
      <c r="Z26" s="80"/>
    </row>
    <row r="27" ht="15.75" customHeight="1">
      <c r="A27" s="80"/>
      <c r="B27" s="8"/>
      <c r="C27" s="55" t="s">
        <v>32</v>
      </c>
      <c r="D27" s="56">
        <v>0.02</v>
      </c>
      <c r="E27" s="57">
        <f>F24*D27</f>
        <v>155599.5257</v>
      </c>
      <c r="F27" s="95">
        <f t="shared" ref="F27:F31" si="2">E27</f>
        <v>155599.5257</v>
      </c>
      <c r="G27" s="12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  <c r="T27" s="80"/>
      <c r="U27" s="80"/>
      <c r="V27" s="80"/>
      <c r="W27" s="80"/>
      <c r="X27" s="80"/>
      <c r="Y27" s="80"/>
      <c r="Z27" s="80"/>
    </row>
    <row r="28" ht="15.75" customHeight="1">
      <c r="A28" s="80"/>
      <c r="B28" s="8"/>
      <c r="C28" s="58" t="s">
        <v>33</v>
      </c>
      <c r="D28" s="59">
        <v>0.0</v>
      </c>
      <c r="E28" s="57">
        <f>5261294*D28</f>
        <v>0</v>
      </c>
      <c r="F28" s="96">
        <f t="shared" si="2"/>
        <v>0</v>
      </c>
      <c r="G28" s="12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  <c r="U28" s="80"/>
      <c r="V28" s="80"/>
      <c r="W28" s="80"/>
      <c r="X28" s="80"/>
      <c r="Y28" s="80"/>
      <c r="Z28" s="80"/>
    </row>
    <row r="29" ht="15.75" customHeight="1">
      <c r="A29" s="80"/>
      <c r="B29" s="8"/>
      <c r="C29" s="58" t="s">
        <v>34</v>
      </c>
      <c r="D29" s="63">
        <v>0.0</v>
      </c>
      <c r="E29" s="57">
        <f>D29*E16</f>
        <v>0</v>
      </c>
      <c r="F29" s="96">
        <f t="shared" si="2"/>
        <v>0</v>
      </c>
      <c r="G29" s="12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  <c r="T29" s="80"/>
      <c r="U29" s="80"/>
      <c r="V29" s="80"/>
      <c r="W29" s="80"/>
      <c r="X29" s="80"/>
      <c r="Y29" s="80"/>
      <c r="Z29" s="80"/>
    </row>
    <row r="30" ht="15.75" customHeight="1">
      <c r="A30" s="80"/>
      <c r="B30" s="8"/>
      <c r="C30" s="58" t="s">
        <v>59</v>
      </c>
      <c r="D30" s="59">
        <f>E30/F24</f>
        <v>0</v>
      </c>
      <c r="E30" s="97">
        <v>0.0</v>
      </c>
      <c r="F30" s="96">
        <f t="shared" si="2"/>
        <v>0</v>
      </c>
      <c r="G30" s="12"/>
      <c r="H30" s="80"/>
      <c r="I30" s="80"/>
      <c r="J30" s="80"/>
      <c r="K30" s="80"/>
      <c r="L30" s="80"/>
      <c r="M30" s="80"/>
      <c r="N30" s="80"/>
      <c r="O30" s="80"/>
      <c r="P30" s="80"/>
      <c r="Q30" s="80"/>
      <c r="R30" s="80"/>
      <c r="S30" s="80"/>
      <c r="T30" s="80"/>
      <c r="U30" s="80"/>
      <c r="V30" s="80"/>
      <c r="W30" s="80"/>
      <c r="X30" s="80"/>
      <c r="Y30" s="80"/>
      <c r="Z30" s="80"/>
    </row>
    <row r="31" ht="15.75" customHeight="1">
      <c r="A31" s="80"/>
      <c r="B31" s="8"/>
      <c r="C31" s="62" t="s">
        <v>27</v>
      </c>
      <c r="D31" s="63">
        <v>0.0</v>
      </c>
      <c r="E31" s="64">
        <v>0.0</v>
      </c>
      <c r="F31" s="98">
        <f t="shared" si="2"/>
        <v>0</v>
      </c>
      <c r="G31" s="12"/>
      <c r="H31" s="80"/>
      <c r="I31" s="80"/>
      <c r="J31" s="80"/>
      <c r="K31" s="80"/>
      <c r="L31" s="80"/>
      <c r="M31" s="80"/>
      <c r="N31" s="80"/>
      <c r="O31" s="80"/>
      <c r="P31" s="80"/>
      <c r="Q31" s="80"/>
      <c r="R31" s="80"/>
      <c r="S31" s="80"/>
      <c r="T31" s="80"/>
      <c r="U31" s="80"/>
      <c r="V31" s="80"/>
      <c r="W31" s="80"/>
      <c r="X31" s="80"/>
      <c r="Y31" s="80"/>
      <c r="Z31" s="80"/>
    </row>
    <row r="32" ht="15.75" customHeight="1">
      <c r="A32" s="80"/>
      <c r="B32" s="8"/>
      <c r="C32" s="91"/>
      <c r="D32" s="92"/>
      <c r="E32" s="99" t="s">
        <v>37</v>
      </c>
      <c r="F32" s="100">
        <f>sum(F27:F31)</f>
        <v>155599.5257</v>
      </c>
      <c r="G32" s="12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  <c r="T32" s="80"/>
      <c r="U32" s="80"/>
      <c r="V32" s="80"/>
      <c r="W32" s="80"/>
      <c r="X32" s="80"/>
      <c r="Y32" s="80"/>
      <c r="Z32" s="80"/>
    </row>
    <row r="33" ht="15.75" customHeight="1">
      <c r="A33" s="80"/>
      <c r="B33" s="8"/>
      <c r="C33" s="17"/>
      <c r="D33" s="16"/>
      <c r="E33" s="16"/>
      <c r="F33" s="54"/>
      <c r="G33" s="12"/>
      <c r="H33" s="80"/>
      <c r="I33" s="80"/>
      <c r="J33" s="80"/>
      <c r="K33" s="80"/>
      <c r="L33" s="80"/>
      <c r="M33" s="80"/>
      <c r="N33" s="80"/>
      <c r="O33" s="80"/>
      <c r="P33" s="80"/>
      <c r="Q33" s="80"/>
      <c r="R33" s="80"/>
      <c r="S33" s="80"/>
      <c r="T33" s="80"/>
      <c r="U33" s="80"/>
      <c r="V33" s="80"/>
      <c r="W33" s="80"/>
      <c r="X33" s="80"/>
      <c r="Y33" s="80"/>
      <c r="Z33" s="80"/>
    </row>
    <row r="34" ht="15.75" customHeight="1">
      <c r="A34" s="80"/>
      <c r="B34" s="8"/>
      <c r="C34" s="17"/>
      <c r="D34" s="16"/>
      <c r="E34" s="101" t="s">
        <v>38</v>
      </c>
      <c r="F34" s="53">
        <f>SUM(F16:F18)-SUM(F27:F31)</f>
        <v>7380147.474</v>
      </c>
      <c r="G34" s="12"/>
      <c r="H34" s="80"/>
      <c r="I34" s="80"/>
      <c r="J34" s="80"/>
      <c r="K34" s="80"/>
      <c r="L34" s="80"/>
      <c r="M34" s="80"/>
      <c r="N34" s="80"/>
      <c r="O34" s="80"/>
      <c r="P34" s="80"/>
      <c r="Q34" s="80"/>
      <c r="R34" s="80"/>
      <c r="S34" s="80"/>
      <c r="T34" s="80"/>
      <c r="U34" s="80"/>
      <c r="V34" s="80"/>
      <c r="W34" s="80"/>
      <c r="X34" s="80"/>
      <c r="Y34" s="80"/>
      <c r="Z34" s="80"/>
    </row>
    <row r="35" ht="143.25" customHeight="1">
      <c r="A35" s="80"/>
      <c r="B35" s="8"/>
      <c r="C35" s="17"/>
      <c r="D35" s="16"/>
      <c r="E35" s="16"/>
      <c r="F35" s="16"/>
      <c r="G35" s="12"/>
      <c r="H35" s="80"/>
      <c r="I35" s="80"/>
      <c r="J35" s="80"/>
      <c r="K35" s="80"/>
      <c r="L35" s="80"/>
      <c r="M35" s="80"/>
      <c r="N35" s="80"/>
      <c r="O35" s="80"/>
      <c r="P35" s="80"/>
      <c r="Q35" s="80"/>
      <c r="R35" s="80"/>
      <c r="S35" s="80"/>
      <c r="T35" s="80"/>
      <c r="U35" s="80"/>
      <c r="V35" s="80"/>
      <c r="W35" s="80"/>
      <c r="X35" s="80"/>
      <c r="Y35" s="80"/>
      <c r="Z35" s="80"/>
    </row>
    <row r="36" ht="15.75" customHeight="1">
      <c r="A36" s="80"/>
      <c r="B36" s="8"/>
      <c r="C36" s="75" t="s">
        <v>41</v>
      </c>
      <c r="G36" s="12"/>
      <c r="H36" s="80"/>
      <c r="I36" s="80"/>
      <c r="J36" s="80"/>
      <c r="K36" s="80"/>
      <c r="L36" s="80"/>
      <c r="M36" s="80"/>
      <c r="N36" s="80"/>
      <c r="O36" s="80"/>
      <c r="P36" s="80"/>
      <c r="Q36" s="80"/>
      <c r="R36" s="80"/>
      <c r="S36" s="80"/>
      <c r="T36" s="80"/>
      <c r="U36" s="80"/>
      <c r="V36" s="80"/>
      <c r="W36" s="80"/>
      <c r="X36" s="80"/>
      <c r="Y36" s="80"/>
      <c r="Z36" s="80"/>
    </row>
    <row r="37" ht="15.75" customHeight="1">
      <c r="A37" s="80"/>
      <c r="B37" s="76"/>
      <c r="C37" s="77" t="s">
        <v>60</v>
      </c>
      <c r="D37" s="78"/>
      <c r="E37" s="78"/>
      <c r="F37" s="78"/>
      <c r="G37" s="79"/>
      <c r="H37" s="80"/>
      <c r="I37" s="80"/>
      <c r="J37" s="80"/>
      <c r="K37" s="80"/>
      <c r="L37" s="80"/>
      <c r="M37" s="80"/>
      <c r="N37" s="80"/>
      <c r="O37" s="80"/>
      <c r="P37" s="80"/>
      <c r="Q37" s="80"/>
      <c r="R37" s="80"/>
      <c r="S37" s="80"/>
      <c r="T37" s="80"/>
      <c r="U37" s="80"/>
      <c r="V37" s="80"/>
      <c r="W37" s="80"/>
      <c r="X37" s="80"/>
      <c r="Y37" s="80"/>
      <c r="Z37" s="80"/>
    </row>
    <row r="38" ht="15.75" customHeight="1">
      <c r="A38" s="80"/>
      <c r="B38" s="80"/>
      <c r="C38" s="80"/>
      <c r="D38" s="80"/>
      <c r="E38" s="80"/>
      <c r="F38" s="80"/>
      <c r="G38" s="80"/>
      <c r="H38" s="80"/>
      <c r="I38" s="80"/>
      <c r="J38" s="80"/>
      <c r="K38" s="80"/>
      <c r="L38" s="80"/>
      <c r="M38" s="80"/>
      <c r="N38" s="80"/>
      <c r="O38" s="80"/>
      <c r="P38" s="80"/>
      <c r="Q38" s="80"/>
      <c r="R38" s="80"/>
      <c r="S38" s="80"/>
      <c r="T38" s="80"/>
      <c r="U38" s="80"/>
      <c r="V38" s="80"/>
      <c r="W38" s="80"/>
      <c r="X38" s="80"/>
      <c r="Y38" s="80"/>
      <c r="Z38" s="80"/>
    </row>
    <row r="39" ht="15.75" customHeight="1">
      <c r="A39" s="80"/>
      <c r="B39" s="80"/>
      <c r="C39" s="80"/>
      <c r="D39" s="80"/>
      <c r="E39" s="80"/>
      <c r="F39" s="80"/>
      <c r="G39" s="80"/>
      <c r="H39" s="80"/>
      <c r="I39" s="80"/>
      <c r="J39" s="80"/>
      <c r="K39" s="80"/>
      <c r="L39" s="80"/>
      <c r="M39" s="80"/>
      <c r="N39" s="80"/>
      <c r="O39" s="80"/>
      <c r="P39" s="80"/>
      <c r="Q39" s="80"/>
      <c r="R39" s="80"/>
      <c r="S39" s="80"/>
      <c r="T39" s="80"/>
      <c r="U39" s="80"/>
      <c r="V39" s="80"/>
      <c r="W39" s="80"/>
      <c r="X39" s="80"/>
      <c r="Y39" s="80"/>
      <c r="Z39" s="80"/>
    </row>
    <row r="40" ht="15.75" customHeight="1">
      <c r="A40" s="80"/>
      <c r="B40" s="80"/>
      <c r="C40" s="80"/>
      <c r="D40" s="80"/>
      <c r="E40" s="80"/>
      <c r="F40" s="80"/>
      <c r="G40" s="80"/>
      <c r="H40" s="80"/>
      <c r="I40" s="80"/>
      <c r="J40" s="80"/>
      <c r="K40" s="80"/>
      <c r="L40" s="80"/>
      <c r="M40" s="80"/>
      <c r="N40" s="80"/>
      <c r="O40" s="80"/>
      <c r="P40" s="80"/>
      <c r="Q40" s="80"/>
      <c r="R40" s="80"/>
      <c r="S40" s="80"/>
      <c r="T40" s="80"/>
      <c r="U40" s="80"/>
      <c r="V40" s="80"/>
      <c r="W40" s="80"/>
      <c r="X40" s="80"/>
      <c r="Y40" s="80"/>
      <c r="Z40" s="80"/>
    </row>
    <row r="41" ht="15.75" customHeight="1">
      <c r="A41" s="80"/>
      <c r="B41" s="80"/>
      <c r="C41" s="80"/>
      <c r="D41" s="80"/>
      <c r="E41" s="80"/>
      <c r="F41" s="80"/>
      <c r="G41" s="80"/>
      <c r="H41" s="80"/>
      <c r="I41" s="80"/>
      <c r="J41" s="80"/>
      <c r="K41" s="80"/>
      <c r="L41" s="80"/>
      <c r="M41" s="80"/>
      <c r="N41" s="80"/>
      <c r="O41" s="80"/>
      <c r="P41" s="80"/>
      <c r="Q41" s="80"/>
      <c r="R41" s="80"/>
      <c r="S41" s="80"/>
      <c r="T41" s="80"/>
      <c r="U41" s="80"/>
      <c r="V41" s="80"/>
      <c r="W41" s="80"/>
      <c r="X41" s="80"/>
      <c r="Y41" s="80"/>
      <c r="Z41" s="80"/>
    </row>
    <row r="42" ht="15.75" customHeight="1">
      <c r="A42" s="80"/>
      <c r="B42" s="80"/>
      <c r="C42" s="80"/>
      <c r="D42" s="80"/>
      <c r="E42" s="80"/>
      <c r="F42" s="80"/>
      <c r="G42" s="80"/>
      <c r="H42" s="80"/>
      <c r="I42" s="80"/>
      <c r="J42" s="80"/>
      <c r="K42" s="80"/>
      <c r="L42" s="80"/>
      <c r="M42" s="80"/>
      <c r="N42" s="80"/>
      <c r="O42" s="80"/>
      <c r="P42" s="80"/>
      <c r="Q42" s="80"/>
      <c r="R42" s="80"/>
      <c r="S42" s="80"/>
      <c r="T42" s="80"/>
      <c r="U42" s="80"/>
      <c r="V42" s="80"/>
      <c r="W42" s="80"/>
      <c r="X42" s="80"/>
      <c r="Y42" s="80"/>
      <c r="Z42" s="80"/>
    </row>
    <row r="43" ht="15.75" customHeight="1">
      <c r="A43" s="80"/>
      <c r="B43" s="80"/>
      <c r="C43" s="80"/>
      <c r="D43" s="80"/>
      <c r="E43" s="80"/>
      <c r="F43" s="80"/>
      <c r="G43" s="80"/>
      <c r="H43" s="80"/>
      <c r="I43" s="80"/>
      <c r="J43" s="80"/>
      <c r="K43" s="80"/>
      <c r="L43" s="80"/>
      <c r="M43" s="80"/>
      <c r="N43" s="80"/>
      <c r="O43" s="80"/>
      <c r="P43" s="80"/>
      <c r="Q43" s="80"/>
      <c r="R43" s="80"/>
      <c r="S43" s="80"/>
      <c r="T43" s="80"/>
      <c r="U43" s="80"/>
      <c r="V43" s="80"/>
      <c r="W43" s="80"/>
      <c r="X43" s="80"/>
      <c r="Y43" s="80"/>
      <c r="Z43" s="80"/>
    </row>
    <row r="44" ht="15.75" customHeight="1">
      <c r="A44" s="80"/>
      <c r="B44" s="80"/>
      <c r="C44" s="80"/>
      <c r="D44" s="80"/>
      <c r="E44" s="80"/>
      <c r="F44" s="80"/>
      <c r="G44" s="80"/>
      <c r="H44" s="80"/>
      <c r="I44" s="80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  <c r="X44" s="80"/>
      <c r="Y44" s="80"/>
      <c r="Z44" s="80"/>
    </row>
    <row r="45" ht="15.75" customHeight="1">
      <c r="A45" s="80"/>
      <c r="B45" s="80"/>
      <c r="C45" s="80"/>
      <c r="D45" s="80"/>
      <c r="E45" s="80"/>
      <c r="F45" s="80"/>
      <c r="G45" s="80"/>
      <c r="H45" s="80"/>
      <c r="I45" s="80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  <c r="X45" s="80"/>
      <c r="Y45" s="80"/>
      <c r="Z45" s="80"/>
    </row>
    <row r="46" ht="15.75" customHeight="1">
      <c r="A46" s="80"/>
      <c r="B46" s="80"/>
      <c r="C46" s="80"/>
      <c r="D46" s="80"/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  <c r="Z46" s="80"/>
    </row>
    <row r="47" ht="15.75" customHeight="1">
      <c r="A47" s="80"/>
      <c r="B47" s="80"/>
      <c r="C47" s="80"/>
      <c r="D47" s="80"/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ht="15.75" customHeight="1">
      <c r="A48" s="80"/>
      <c r="B48" s="80"/>
      <c r="C48" s="80"/>
      <c r="D48" s="80"/>
      <c r="E48" s="80"/>
      <c r="F48" s="80"/>
      <c r="G48" s="80"/>
      <c r="H48" s="80"/>
      <c r="I48" s="80"/>
      <c r="J48" s="80"/>
      <c r="K48" s="80"/>
      <c r="L48" s="80"/>
      <c r="M48" s="80"/>
      <c r="N48" s="80"/>
      <c r="O48" s="80"/>
      <c r="P48" s="80"/>
      <c r="Q48" s="80"/>
      <c r="R48" s="80"/>
      <c r="S48" s="80"/>
      <c r="T48" s="80"/>
      <c r="U48" s="80"/>
      <c r="V48" s="80"/>
      <c r="W48" s="80"/>
      <c r="X48" s="80"/>
      <c r="Y48" s="80"/>
      <c r="Z48" s="80"/>
    </row>
    <row r="49" ht="15.75" customHeight="1">
      <c r="A49" s="80"/>
      <c r="B49" s="80"/>
      <c r="C49" s="80"/>
      <c r="D49" s="80"/>
      <c r="E49" s="80"/>
      <c r="F49" s="80"/>
      <c r="G49" s="80"/>
      <c r="H49" s="80"/>
      <c r="I49" s="80"/>
      <c r="J49" s="80"/>
      <c r="K49" s="80"/>
      <c r="L49" s="80"/>
      <c r="M49" s="80"/>
      <c r="N49" s="80"/>
      <c r="O49" s="80"/>
      <c r="P49" s="80"/>
      <c r="Q49" s="80"/>
      <c r="R49" s="80"/>
      <c r="S49" s="80"/>
      <c r="T49" s="80"/>
      <c r="U49" s="80"/>
      <c r="V49" s="80"/>
      <c r="W49" s="80"/>
      <c r="X49" s="80"/>
      <c r="Y49" s="80"/>
      <c r="Z49" s="80"/>
    </row>
    <row r="50" ht="15.75" customHeight="1">
      <c r="A50" s="80"/>
      <c r="B50" s="80"/>
      <c r="C50" s="80"/>
      <c r="D50" s="80"/>
      <c r="E50" s="80"/>
      <c r="F50" s="80"/>
      <c r="G50" s="80"/>
      <c r="H50" s="80"/>
      <c r="I50" s="80"/>
      <c r="J50" s="80"/>
      <c r="K50" s="80"/>
      <c r="L50" s="80"/>
      <c r="M50" s="80"/>
      <c r="N50" s="80"/>
      <c r="O50" s="80"/>
      <c r="P50" s="80"/>
      <c r="Q50" s="80"/>
      <c r="R50" s="80"/>
      <c r="S50" s="80"/>
      <c r="T50" s="80"/>
      <c r="U50" s="80"/>
      <c r="V50" s="80"/>
      <c r="W50" s="80"/>
      <c r="X50" s="80"/>
      <c r="Y50" s="80"/>
      <c r="Z50" s="80"/>
    </row>
    <row r="51" ht="15.75" customHeight="1">
      <c r="A51" s="80"/>
      <c r="B51" s="80"/>
      <c r="C51" s="80"/>
      <c r="D51" s="80"/>
      <c r="E51" s="80"/>
      <c r="F51" s="80"/>
      <c r="G51" s="80"/>
      <c r="H51" s="80"/>
      <c r="I51" s="80"/>
      <c r="J51" s="80"/>
      <c r="K51" s="80"/>
      <c r="L51" s="80"/>
      <c r="M51" s="80"/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80"/>
      <c r="Z51" s="80"/>
    </row>
    <row r="52" ht="15.75" customHeight="1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80"/>
      <c r="X52" s="80"/>
      <c r="Y52" s="80"/>
      <c r="Z52" s="80"/>
    </row>
    <row r="53" ht="15.75" customHeight="1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</row>
    <row r="54" ht="15.75" customHeight="1">
      <c r="A54" s="80"/>
      <c r="B54" s="80"/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0"/>
      <c r="N54" s="80"/>
      <c r="O54" s="80"/>
      <c r="P54" s="80"/>
      <c r="Q54" s="80"/>
      <c r="R54" s="80"/>
      <c r="S54" s="80"/>
      <c r="T54" s="80"/>
      <c r="U54" s="80"/>
      <c r="V54" s="80"/>
      <c r="W54" s="80"/>
      <c r="X54" s="80"/>
      <c r="Y54" s="80"/>
      <c r="Z54" s="80"/>
    </row>
    <row r="55" ht="15.75" customHeight="1">
      <c r="A55" s="80"/>
      <c r="B55" s="80"/>
      <c r="C55" s="80"/>
      <c r="D55" s="80"/>
      <c r="E55" s="80"/>
      <c r="F55" s="80"/>
      <c r="G55" s="80"/>
      <c r="H55" s="80"/>
      <c r="I55" s="80"/>
      <c r="J55" s="80"/>
      <c r="K55" s="80"/>
      <c r="L55" s="80"/>
      <c r="M55" s="80"/>
      <c r="N55" s="80"/>
      <c r="O55" s="80"/>
      <c r="P55" s="80"/>
      <c r="Q55" s="80"/>
      <c r="R55" s="80"/>
      <c r="S55" s="80"/>
      <c r="T55" s="80"/>
      <c r="U55" s="80"/>
      <c r="V55" s="80"/>
      <c r="W55" s="80"/>
      <c r="X55" s="80"/>
      <c r="Y55" s="80"/>
      <c r="Z55" s="80"/>
    </row>
    <row r="56" ht="15.75" customHeight="1">
      <c r="A56" s="80"/>
      <c r="B56" s="80"/>
      <c r="C56" s="80"/>
      <c r="D56" s="80"/>
      <c r="E56" s="80"/>
      <c r="F56" s="80"/>
      <c r="G56" s="80"/>
      <c r="H56" s="80"/>
      <c r="I56" s="80"/>
      <c r="J56" s="80"/>
      <c r="K56" s="80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</row>
    <row r="57" ht="15.75" customHeight="1">
      <c r="A57" s="80"/>
      <c r="B57" s="80"/>
      <c r="C57" s="80"/>
      <c r="D57" s="80"/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</row>
    <row r="58" ht="15.75" customHeight="1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</row>
    <row r="59" ht="15.75" customHeight="1">
      <c r="A59" s="80"/>
      <c r="B59" s="80"/>
      <c r="C59" s="80"/>
      <c r="D59" s="80"/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</row>
    <row r="60" ht="15.75" customHeight="1">
      <c r="A60" s="80"/>
      <c r="B60" s="80"/>
      <c r="C60" s="80"/>
      <c r="D60" s="80"/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</row>
    <row r="61" ht="15.75" customHeight="1">
      <c r="A61" s="80"/>
      <c r="B61" s="80"/>
      <c r="C61" s="80"/>
      <c r="D61" s="80"/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</row>
    <row r="62" ht="15.75" customHeight="1">
      <c r="A62" s="80"/>
      <c r="B62" s="80"/>
      <c r="C62" s="80"/>
      <c r="D62" s="80"/>
      <c r="E62" s="80"/>
      <c r="F62" s="80"/>
      <c r="G62" s="80"/>
      <c r="H62" s="80"/>
      <c r="I62" s="80"/>
      <c r="J62" s="80"/>
      <c r="K62" s="80"/>
      <c r="L62" s="80"/>
      <c r="M62" s="80"/>
      <c r="N62" s="80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</row>
    <row r="63" ht="15.75" customHeight="1">
      <c r="A63" s="80"/>
      <c r="B63" s="80"/>
      <c r="C63" s="80"/>
      <c r="D63" s="80"/>
      <c r="E63" s="80"/>
      <c r="F63" s="80"/>
      <c r="G63" s="80"/>
      <c r="H63" s="80"/>
      <c r="I63" s="80"/>
      <c r="J63" s="80"/>
      <c r="K63" s="80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</row>
    <row r="64" ht="15.75" customHeight="1">
      <c r="A64" s="80"/>
      <c r="B64" s="80"/>
      <c r="C64" s="80"/>
      <c r="D64" s="80"/>
      <c r="E64" s="80"/>
      <c r="F64" s="80"/>
      <c r="G64" s="80"/>
      <c r="H64" s="80"/>
      <c r="I64" s="80"/>
      <c r="J64" s="80"/>
      <c r="K64" s="80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</row>
    <row r="65" ht="15.75" customHeight="1">
      <c r="A65" s="80"/>
      <c r="B65" s="80"/>
      <c r="C65" s="80"/>
      <c r="D65" s="80"/>
      <c r="E65" s="80"/>
      <c r="F65" s="80"/>
      <c r="G65" s="80"/>
      <c r="H65" s="80"/>
      <c r="I65" s="80"/>
      <c r="J65" s="80"/>
      <c r="K65" s="80"/>
      <c r="L65" s="80"/>
      <c r="M65" s="80"/>
      <c r="N65" s="80"/>
      <c r="O65" s="80"/>
      <c r="P65" s="80"/>
      <c r="Q65" s="80"/>
      <c r="R65" s="80"/>
      <c r="S65" s="80"/>
      <c r="T65" s="80"/>
      <c r="U65" s="80"/>
      <c r="V65" s="80"/>
      <c r="W65" s="80"/>
      <c r="X65" s="80"/>
      <c r="Y65" s="80"/>
      <c r="Z65" s="80"/>
    </row>
    <row r="66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80"/>
      <c r="K66" s="80"/>
      <c r="L66" s="80"/>
      <c r="M66" s="80"/>
      <c r="N66" s="80"/>
      <c r="O66" s="80"/>
      <c r="P66" s="80"/>
      <c r="Q66" s="80"/>
      <c r="R66" s="80"/>
      <c r="S66" s="80"/>
      <c r="T66" s="80"/>
      <c r="U66" s="80"/>
      <c r="V66" s="80"/>
      <c r="W66" s="80"/>
      <c r="X66" s="80"/>
      <c r="Y66" s="80"/>
      <c r="Z66" s="80"/>
    </row>
    <row r="67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80"/>
      <c r="K67" s="80"/>
      <c r="L67" s="80"/>
      <c r="M67" s="80"/>
      <c r="N67" s="80"/>
      <c r="O67" s="80"/>
      <c r="P67" s="80"/>
      <c r="Q67" s="80"/>
      <c r="R67" s="80"/>
      <c r="S67" s="80"/>
      <c r="T67" s="80"/>
      <c r="U67" s="80"/>
      <c r="V67" s="80"/>
      <c r="W67" s="80"/>
      <c r="X67" s="80"/>
      <c r="Y67" s="80"/>
      <c r="Z67" s="80"/>
    </row>
    <row r="68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80"/>
      <c r="T68" s="80"/>
      <c r="U68" s="80"/>
      <c r="V68" s="80"/>
      <c r="W68" s="80"/>
      <c r="X68" s="80"/>
      <c r="Y68" s="80"/>
      <c r="Z68" s="80"/>
    </row>
    <row r="69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80"/>
      <c r="K69" s="80"/>
      <c r="L69" s="80"/>
      <c r="M69" s="80"/>
      <c r="N69" s="80"/>
      <c r="O69" s="80"/>
      <c r="P69" s="80"/>
      <c r="Q69" s="80"/>
      <c r="R69" s="80"/>
      <c r="S69" s="80"/>
      <c r="T69" s="80"/>
      <c r="U69" s="80"/>
      <c r="V69" s="80"/>
      <c r="W69" s="80"/>
      <c r="X69" s="80"/>
      <c r="Y69" s="80"/>
      <c r="Z69" s="80"/>
    </row>
    <row r="70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  <c r="P70" s="80"/>
      <c r="Q70" s="80"/>
      <c r="R70" s="80"/>
      <c r="S70" s="80"/>
      <c r="T70" s="80"/>
      <c r="U70" s="80"/>
      <c r="V70" s="80"/>
      <c r="W70" s="80"/>
      <c r="X70" s="80"/>
      <c r="Y70" s="80"/>
      <c r="Z70" s="80"/>
    </row>
    <row r="71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  <c r="P71" s="80"/>
      <c r="Q71" s="80"/>
      <c r="R71" s="80"/>
      <c r="S71" s="80"/>
      <c r="T71" s="80"/>
      <c r="U71" s="80"/>
      <c r="V71" s="80"/>
      <c r="W71" s="80"/>
      <c r="X71" s="80"/>
      <c r="Y71" s="80"/>
      <c r="Z71" s="80"/>
    </row>
    <row r="7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80"/>
      <c r="K72" s="80"/>
      <c r="L72" s="80"/>
      <c r="M72" s="80"/>
      <c r="N72" s="80"/>
      <c r="O72" s="80"/>
      <c r="P72" s="80"/>
      <c r="Q72" s="80"/>
      <c r="R72" s="80"/>
      <c r="S72" s="80"/>
      <c r="T72" s="80"/>
      <c r="U72" s="80"/>
      <c r="V72" s="80"/>
      <c r="W72" s="80"/>
      <c r="X72" s="80"/>
      <c r="Y72" s="80"/>
      <c r="Z72" s="80"/>
    </row>
    <row r="73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</row>
    <row r="74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</row>
    <row r="75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</row>
    <row r="76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</row>
    <row r="77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</row>
    <row r="78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</row>
    <row r="79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</row>
    <row r="80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</row>
    <row r="81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</row>
    <row r="8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</row>
    <row r="8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</row>
    <row r="84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</row>
    <row r="85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</row>
    <row r="86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</row>
    <row r="87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</row>
    <row r="88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</row>
    <row r="89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</row>
    <row r="90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</row>
    <row r="91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</row>
    <row r="9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</row>
    <row r="9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</row>
    <row r="94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</row>
    <row r="95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</row>
    <row r="96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</row>
    <row r="97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</row>
    <row r="98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</row>
    <row r="99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</row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4">
    <mergeCell ref="C7:D7"/>
    <mergeCell ref="C10:D10"/>
    <mergeCell ref="C36:F36"/>
    <mergeCell ref="C37:F37"/>
  </mergeCells>
  <printOptions horizontalCentered="1"/>
  <pageMargins bottom="0.75" footer="0.0" header="0.0" left="0.7" right="0.7" top="0.75"/>
  <pageSetup paperSize="9" cellComments="atEnd" orientation="portrait" pageOrder="overThenDown"/>
  <drawing r:id="rId1"/>
</worksheet>
</file>