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slip" sheetId="1" r:id="rId5"/>
  </sheets>
  <definedNames/>
  <calcPr/>
</workbook>
</file>

<file path=xl/sharedStrings.xml><?xml version="1.0" encoding="utf-8"?>
<sst xmlns="http://schemas.openxmlformats.org/spreadsheetml/2006/main" count="45" uniqueCount="43">
  <si>
    <t>Rhaya Flicks</t>
  </si>
  <si>
    <t>PAYSLIP</t>
  </si>
  <si>
    <t>Sapphire Commercial SRC 009 Summarecon Bandung</t>
  </si>
  <si>
    <t>info@rhayaflicks.com</t>
  </si>
  <si>
    <t>PT Rhayakan Film Indonesia</t>
  </si>
  <si>
    <t>EMPLOYEE INFORMATION</t>
  </si>
  <si>
    <t>PAY DATE</t>
  </si>
  <si>
    <t>PERIOD</t>
  </si>
  <si>
    <t>Nama Karyawan</t>
  </si>
  <si>
    <t>Titel</t>
  </si>
  <si>
    <t>EMPLOYEE ID</t>
  </si>
  <si>
    <t>PTKP STATUS</t>
  </si>
  <si>
    <t>Email@gmail.com</t>
  </si>
  <si>
    <t>Payment Method</t>
  </si>
  <si>
    <t>Bank Transfer</t>
  </si>
  <si>
    <t>Currency</t>
  </si>
  <si>
    <t>Rupiah (IDR)</t>
  </si>
  <si>
    <t>EARNINGS</t>
  </si>
  <si>
    <t>DAY / ITEM / HOURS</t>
  </si>
  <si>
    <t>FIXED RATE</t>
  </si>
  <si>
    <t>TOTAL</t>
  </si>
  <si>
    <t>Basic Pay</t>
  </si>
  <si>
    <t>Overtime</t>
  </si>
  <si>
    <r>
      <rPr>
        <rFont val="Helvetica Neue"/>
        <b/>
        <color theme="1"/>
        <sz val="9.0"/>
      </rPr>
      <t>Prepaid Expense From:</t>
    </r>
    <r>
      <rPr>
        <rFont val="Helvetica Neue"/>
        <color theme="1"/>
        <sz val="9.0"/>
      </rPr>
      <t xml:space="preserve">
THR: Bonus: Overtime</t>
    </r>
  </si>
  <si>
    <t>Commission and Bonus</t>
  </si>
  <si>
    <t>Sick Pay</t>
  </si>
  <si>
    <t>Health &amp; Wellness</t>
  </si>
  <si>
    <t>Others</t>
  </si>
  <si>
    <t>GROSS PAY*</t>
  </si>
  <si>
    <t>DEDUCTIONS</t>
  </si>
  <si>
    <t>PERCENTAGE</t>
  </si>
  <si>
    <t>AMOUNT</t>
  </si>
  <si>
    <t>Pph 21</t>
  </si>
  <si>
    <t>BPJSTK</t>
  </si>
  <si>
    <t>BPJSKES</t>
  </si>
  <si>
    <t>Employee Loan</t>
  </si>
  <si>
    <t>Compensation Tax A1</t>
  </si>
  <si>
    <t>TOTAL DEDUCTIONS</t>
  </si>
  <si>
    <t>TAKE HOME PAY</t>
  </si>
  <si>
    <t>(BASIC PAY + OVERTIME) - TOTAL DEDUCTION</t>
  </si>
  <si>
    <t>*) Gross pay serves as the basis for determining the percentage of PPh 21 deductions in accordance with the applicable PTKP status.</t>
  </si>
  <si>
    <t>If you have any questions about this payslip, please contact:</t>
  </si>
  <si>
    <t>hr@rhayaflicks.com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</si>
</sst>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mmmm yyyy"/>
    <numFmt numFmtId="166" formatCode="#,##0;(#,##0)"/>
  </numFmts>
  <fonts count="16">
    <font>
      <sz val="10.0"/>
      <color rgb="FF000000"/>
      <name val="Arial"/>
      <scheme val="minor"/>
    </font>
    <font>
      <color theme="1"/>
      <name val="Helvetica Neue"/>
    </font>
    <font>
      <b/>
      <sz val="24.0"/>
      <color theme="1"/>
      <name val="Helvetica Neue"/>
    </font>
    <font>
      <sz val="24.0"/>
      <color theme="1"/>
      <name val="Helvetica Neue"/>
    </font>
    <font>
      <b/>
      <sz val="9.0"/>
      <color theme="1"/>
      <name val="Helvetica Neue"/>
    </font>
    <font>
      <color rgb="FF000000"/>
      <name val="Helvetica Neue"/>
    </font>
    <font>
      <sz val="9.0"/>
      <color rgb="FF28577D"/>
      <name val="Helvetica Neue"/>
    </font>
    <font>
      <sz val="9.0"/>
      <color theme="1"/>
      <name val="Helvetica Neue"/>
    </font>
    <font>
      <b/>
      <sz val="9.0"/>
      <color rgb="FFFFFFFF"/>
      <name val="Helvetica Neue"/>
    </font>
    <font/>
    <font>
      <b/>
      <sz val="11.0"/>
      <color theme="1"/>
      <name val="Helvetica Neue"/>
    </font>
    <font>
      <sz val="11.0"/>
      <color theme="1"/>
      <name val="Helvetica Neue"/>
    </font>
    <font>
      <b/>
      <sz val="11.0"/>
      <color rgb="FF000000"/>
      <name val="Helvetica Neue"/>
    </font>
    <font>
      <b/>
      <sz val="15.0"/>
      <color rgb="FF000000"/>
      <name val="Helvetica Neue"/>
    </font>
    <font>
      <sz val="9.0"/>
      <color rgb="FF000000"/>
      <name val="Helvetica Neue"/>
    </font>
    <font>
      <b/>
      <sz val="10.0"/>
      <color theme="1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7BACD5"/>
        <bgColor rgb="FF7BACD5"/>
      </patternFill>
    </fill>
    <fill>
      <patternFill patternType="solid">
        <fgColor rgb="FFD2E2F0"/>
        <bgColor rgb="FFD2E2F0"/>
      </patternFill>
    </fill>
    <fill>
      <patternFill patternType="solid">
        <fgColor rgb="FFF2F2F2"/>
        <bgColor rgb="FFF2F2F2"/>
      </patternFill>
    </fill>
    <fill>
      <patternFill patternType="solid">
        <fgColor rgb="FFDDDDDD"/>
        <bgColor rgb="FFDDDDDD"/>
      </patternFill>
    </fill>
    <fill>
      <patternFill patternType="solid">
        <fgColor rgb="FFB2B2B2"/>
        <bgColor rgb="FFB2B2B2"/>
      </patternFill>
    </fill>
  </fills>
  <borders count="1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6" fillId="2" fontId="8" numFmtId="0" xfId="0" applyAlignment="1" applyBorder="1" applyFill="1" applyFont="1">
      <alignment horizontal="left" shrinkToFit="0" vertical="center" wrapText="0"/>
    </xf>
    <xf borderId="7" fillId="0" fontId="9" numFmtId="0" xfId="0" applyBorder="1" applyFont="1"/>
    <xf borderId="8" fillId="2" fontId="8" numFmtId="0" xfId="0" applyAlignment="1" applyBorder="1" applyFont="1">
      <alignment horizontal="center" shrinkToFit="0" vertical="center" wrapText="0"/>
    </xf>
    <xf borderId="6" fillId="0" fontId="10" numFmtId="0" xfId="0" applyAlignment="1" applyBorder="1" applyFont="1">
      <alignment readingOrder="0" shrinkToFit="0" vertical="center" wrapText="0"/>
    </xf>
    <xf borderId="8" fillId="3" fontId="4" numFmtId="164" xfId="0" applyAlignment="1" applyBorder="1" applyFill="1" applyFont="1" applyNumberFormat="1">
      <alignment horizontal="center" shrinkToFit="0" vertical="center" wrapText="0"/>
    </xf>
    <xf borderId="8" fillId="4" fontId="4" numFmtId="165" xfId="0" applyAlignment="1" applyBorder="1" applyFill="1" applyFont="1" applyNumberFormat="1">
      <alignment horizontal="center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8" fillId="2" fontId="8" numFmtId="0" xfId="0" applyAlignment="1" applyBorder="1" applyFont="1">
      <alignment horizontal="center" vertical="center"/>
    </xf>
    <xf borderId="6" fillId="0" fontId="7" numFmtId="0" xfId="0" applyAlignment="1" applyBorder="1" applyFont="1">
      <alignment readingOrder="0" shrinkToFit="0" vertical="center" wrapText="0"/>
    </xf>
    <xf borderId="8" fillId="4" fontId="4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9" fillId="5" fontId="4" numFmtId="0" xfId="0" applyAlignment="1" applyBorder="1" applyFill="1" applyFont="1">
      <alignment vertical="center"/>
    </xf>
    <xf borderId="9" fillId="5" fontId="4" numFmtId="0" xfId="0" applyAlignment="1" applyBorder="1" applyFont="1">
      <alignment horizontal="center" vertical="center"/>
    </xf>
    <xf borderId="9" fillId="6" fontId="4" numFmtId="0" xfId="0" applyAlignment="1" applyBorder="1" applyFill="1" applyFont="1">
      <alignment horizontal="center" vertical="center"/>
    </xf>
    <xf borderId="10" fillId="0" fontId="7" numFmtId="0" xfId="0" applyAlignment="1" applyBorder="1" applyFont="1">
      <alignment vertical="center"/>
    </xf>
    <xf borderId="11" fillId="0" fontId="7" numFmtId="0" xfId="0" applyAlignment="1" applyBorder="1" applyFont="1">
      <alignment horizontal="center" vertical="center"/>
    </xf>
    <xf borderId="11" fillId="0" fontId="7" numFmtId="3" xfId="0" applyAlignment="1" applyBorder="1" applyFont="1" applyNumberFormat="1">
      <alignment horizontal="center" vertical="center"/>
    </xf>
    <xf borderId="11" fillId="4" fontId="7" numFmtId="3" xfId="0" applyAlignment="1" applyBorder="1" applyFont="1" applyNumberFormat="1">
      <alignment horizontal="right" vertical="center"/>
    </xf>
    <xf borderId="12" fillId="0" fontId="7" numFmtId="0" xfId="0" applyAlignment="1" applyBorder="1" applyFont="1">
      <alignment vertical="center"/>
    </xf>
    <xf borderId="8" fillId="0" fontId="7" numFmtId="1" xfId="0" applyAlignment="1" applyBorder="1" applyFont="1" applyNumberFormat="1">
      <alignment horizontal="center" vertical="center"/>
    </xf>
    <xf borderId="8" fillId="0" fontId="7" numFmtId="3" xfId="0" applyAlignment="1" applyBorder="1" applyFont="1" applyNumberFormat="1">
      <alignment horizontal="center" readingOrder="0" vertical="center"/>
    </xf>
    <xf borderId="8" fillId="4" fontId="7" numFmtId="3" xfId="0" applyAlignment="1" applyBorder="1" applyFont="1" applyNumberFormat="1">
      <alignment horizontal="right" vertical="center"/>
    </xf>
    <xf borderId="8" fillId="0" fontId="7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center" vertical="center"/>
    </xf>
    <xf borderId="8" fillId="0" fontId="7" numFmtId="3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vertical="center"/>
    </xf>
    <xf borderId="13" fillId="0" fontId="7" numFmtId="0" xfId="0" applyAlignment="1" applyBorder="1" applyFont="1">
      <alignment horizontal="center" vertical="center"/>
    </xf>
    <xf borderId="13" fillId="0" fontId="7" numFmtId="3" xfId="0" applyAlignment="1" applyBorder="1" applyFont="1" applyNumberFormat="1">
      <alignment horizontal="center" vertical="center"/>
    </xf>
    <xf borderId="13" fillId="4" fontId="7" numFmtId="3" xfId="0" applyAlignment="1" applyBorder="1" applyFont="1" applyNumberFormat="1">
      <alignment horizontal="right" vertical="center"/>
    </xf>
    <xf borderId="9" fillId="5" fontId="11" numFmtId="0" xfId="0" applyAlignment="1" applyBorder="1" applyFont="1">
      <alignment vertical="center"/>
    </xf>
    <xf borderId="9" fillId="5" fontId="11" numFmtId="0" xfId="0" applyAlignment="1" applyBorder="1" applyFont="1">
      <alignment horizontal="left" vertical="center"/>
    </xf>
    <xf borderId="9" fillId="5" fontId="10" numFmtId="0" xfId="0" applyAlignment="1" applyBorder="1" applyFont="1">
      <alignment horizontal="center" vertical="center"/>
    </xf>
    <xf borderId="9" fillId="6" fontId="12" numFmtId="3" xfId="0" applyAlignment="1" applyBorder="1" applyFont="1" applyNumberFormat="1">
      <alignment horizontal="right" vertical="center"/>
    </xf>
    <xf borderId="0" fillId="0" fontId="7" numFmtId="0" xfId="0" applyAlignment="1" applyFont="1">
      <alignment horizontal="right" vertical="center"/>
    </xf>
    <xf borderId="11" fillId="0" fontId="7" numFmtId="0" xfId="0" applyAlignment="1" applyBorder="1" applyFont="1">
      <alignment horizontal="left" vertical="center"/>
    </xf>
    <xf borderId="11" fillId="0" fontId="7" numFmtId="10" xfId="0" applyAlignment="1" applyBorder="1" applyFont="1" applyNumberFormat="1">
      <alignment horizontal="center" vertical="center"/>
    </xf>
    <xf borderId="11" fillId="0" fontId="7" numFmtId="166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horizontal="left" vertical="center"/>
    </xf>
    <xf borderId="8" fillId="0" fontId="7" numFmtId="10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horizontal="left" readingOrder="0" vertical="center"/>
    </xf>
    <xf borderId="13" fillId="0" fontId="7" numFmtId="0" xfId="0" applyAlignment="1" applyBorder="1" applyFont="1">
      <alignment horizontal="left" readingOrder="0" vertical="center"/>
    </xf>
    <xf borderId="13" fillId="0" fontId="7" numFmtId="0" xfId="0" applyAlignment="1" applyBorder="1" applyFont="1">
      <alignment horizontal="left" vertical="center"/>
    </xf>
    <xf borderId="13" fillId="0" fontId="7" numFmtId="10" xfId="0" applyAlignment="1" applyBorder="1" applyFont="1" applyNumberFormat="1">
      <alignment horizontal="center" vertical="center"/>
    </xf>
    <xf borderId="13" fillId="0" fontId="7" numFmtId="166" xfId="0" applyAlignment="1" applyBorder="1" applyFont="1" applyNumberFormat="1">
      <alignment horizontal="center" vertical="center"/>
    </xf>
    <xf borderId="13" fillId="4" fontId="7" numFmtId="166" xfId="0" applyAlignment="1" applyBorder="1" applyFont="1" applyNumberFormat="1">
      <alignment horizontal="right" vertical="center"/>
    </xf>
    <xf borderId="9" fillId="5" fontId="10" numFmtId="0" xfId="0" applyAlignment="1" applyBorder="1" applyFont="1">
      <alignment horizontal="right" shrinkToFit="0" vertical="center" wrapText="0"/>
    </xf>
    <xf borderId="9" fillId="6" fontId="10" numFmtId="3" xfId="0" applyAlignment="1" applyBorder="1" applyFont="1" applyNumberFormat="1">
      <alignment horizontal="right" vertical="center"/>
    </xf>
    <xf borderId="6" fillId="5" fontId="12" numFmtId="0" xfId="0" applyAlignment="1" applyBorder="1" applyFont="1">
      <alignment horizontal="center" vertical="center"/>
    </xf>
    <xf borderId="14" fillId="0" fontId="9" numFmtId="0" xfId="0" applyBorder="1" applyFont="1"/>
    <xf borderId="13" fillId="6" fontId="13" numFmtId="3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vertical="center"/>
    </xf>
    <xf borderId="11" fillId="0" fontId="9" numFmtId="0" xfId="0" applyBorder="1" applyFont="1"/>
    <xf borderId="0" fillId="0" fontId="14" numFmtId="0" xfId="0" applyAlignment="1" applyFont="1">
      <alignment horizontal="left" vertical="center"/>
    </xf>
    <xf borderId="0" fillId="0" fontId="7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0"/>
    </xf>
    <xf borderId="15" fillId="0" fontId="1" numFmtId="0" xfId="0" applyAlignment="1" applyBorder="1" applyFont="1">
      <alignment vertical="center"/>
    </xf>
    <xf borderId="16" fillId="0" fontId="15" numFmtId="0" xfId="0" applyAlignment="1" applyBorder="1" applyFont="1">
      <alignment horizontal="center" shrinkToFit="0" vertical="center" wrapText="0"/>
    </xf>
    <xf borderId="16" fillId="0" fontId="9" numFmtId="0" xfId="0" applyBorder="1" applyFont="1"/>
    <xf borderId="17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5"/>
    <col customWidth="1" min="2" max="2" width="18.38"/>
    <col customWidth="1" min="3" max="3" width="18.88"/>
    <col customWidth="1" min="4" max="4" width="16.63"/>
    <col customWidth="1" min="5" max="5" width="21.38"/>
    <col customWidth="1" min="6" max="6" width="6.0"/>
  </cols>
  <sheetData>
    <row r="1" ht="45.75" customHeight="1">
      <c r="A1" s="1"/>
      <c r="B1" s="2" t="s">
        <v>0</v>
      </c>
      <c r="C1" s="3"/>
      <c r="D1" s="4"/>
      <c r="E1" s="5" t="s">
        <v>1</v>
      </c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 t="s">
        <v>2</v>
      </c>
      <c r="C2" s="10"/>
      <c r="D2" s="11"/>
      <c r="E2" s="11"/>
      <c r="F2" s="12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13" t="s">
        <v>3</v>
      </c>
      <c r="C3" s="10"/>
      <c r="D3" s="11"/>
      <c r="E3" s="11"/>
      <c r="F3" s="12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/>
      <c r="B4" s="14"/>
      <c r="C4" s="10"/>
      <c r="D4" s="11"/>
      <c r="E4" s="11"/>
      <c r="F4" s="1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8"/>
      <c r="B5" s="15" t="s">
        <v>4</v>
      </c>
      <c r="C5" s="16"/>
      <c r="D5" s="17"/>
      <c r="E5" s="17"/>
      <c r="F5" s="12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/>
      <c r="B6" s="18" t="s">
        <v>5</v>
      </c>
      <c r="C6" s="19"/>
      <c r="D6" s="20" t="s">
        <v>6</v>
      </c>
      <c r="E6" s="20" t="s">
        <v>7</v>
      </c>
      <c r="F6" s="12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8"/>
      <c r="B7" s="21" t="s">
        <v>8</v>
      </c>
      <c r="C7" s="19"/>
      <c r="D7" s="22">
        <v>46050.0</v>
      </c>
      <c r="E7" s="23">
        <f>D7</f>
        <v>46050</v>
      </c>
      <c r="F7" s="12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/>
      <c r="B8" s="24" t="s">
        <v>9</v>
      </c>
      <c r="C8" s="19"/>
      <c r="D8" s="25" t="s">
        <v>10</v>
      </c>
      <c r="E8" s="20" t="s">
        <v>11</v>
      </c>
      <c r="F8" s="12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8"/>
      <c r="B9" s="26" t="s">
        <v>12</v>
      </c>
      <c r="C9" s="19"/>
      <c r="D9" s="27"/>
      <c r="E9" s="27"/>
      <c r="F9" s="12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8"/>
      <c r="B10" s="28"/>
      <c r="C10" s="16"/>
      <c r="D10" s="29"/>
      <c r="E10" s="29"/>
      <c r="F10" s="12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8"/>
      <c r="B11" s="30"/>
      <c r="C11" s="29"/>
      <c r="D11" s="29" t="s">
        <v>13</v>
      </c>
      <c r="E11" s="31" t="s">
        <v>14</v>
      </c>
      <c r="F11" s="12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8"/>
      <c r="B12" s="30"/>
      <c r="C12" s="16"/>
      <c r="D12" s="29" t="s">
        <v>15</v>
      </c>
      <c r="E12" s="31" t="s">
        <v>16</v>
      </c>
      <c r="F12" s="12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8"/>
      <c r="B13" s="17"/>
      <c r="C13" s="16"/>
      <c r="D13" s="29"/>
      <c r="E13" s="29"/>
      <c r="F13" s="12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8"/>
      <c r="B14" s="32" t="s">
        <v>17</v>
      </c>
      <c r="C14" s="33" t="s">
        <v>18</v>
      </c>
      <c r="D14" s="33" t="s">
        <v>19</v>
      </c>
      <c r="E14" s="34" t="s">
        <v>20</v>
      </c>
      <c r="F14" s="12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8"/>
      <c r="B15" s="35" t="s">
        <v>21</v>
      </c>
      <c r="C15" s="36">
        <v>21.0</v>
      </c>
      <c r="D15" s="37">
        <v>6420881.0</v>
      </c>
      <c r="E15" s="38">
        <f t="shared" ref="E15:E18" si="1">D15</f>
        <v>6420881</v>
      </c>
      <c r="F15" s="12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8"/>
      <c r="B16" s="39" t="s">
        <v>22</v>
      </c>
      <c r="C16" s="40">
        <f>D16/37500</f>
        <v>0</v>
      </c>
      <c r="D16" s="41">
        <v>0.0</v>
      </c>
      <c r="E16" s="42">
        <f t="shared" si="1"/>
        <v>0</v>
      </c>
      <c r="F16" s="12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9.0" customHeight="1">
      <c r="A17" s="8"/>
      <c r="B17" s="43" t="s">
        <v>23</v>
      </c>
      <c r="C17" s="44">
        <v>0.0</v>
      </c>
      <c r="D17" s="45">
        <v>0.0</v>
      </c>
      <c r="E17" s="42">
        <f t="shared" si="1"/>
        <v>0</v>
      </c>
      <c r="F17" s="12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8"/>
      <c r="B18" s="39" t="s">
        <v>24</v>
      </c>
      <c r="C18" s="44">
        <v>0.0</v>
      </c>
      <c r="D18" s="45">
        <v>0.0</v>
      </c>
      <c r="E18" s="42">
        <f t="shared" si="1"/>
        <v>0</v>
      </c>
      <c r="F18" s="12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8"/>
      <c r="B19" s="39" t="s">
        <v>25</v>
      </c>
      <c r="C19" s="44">
        <v>0.0</v>
      </c>
      <c r="D19" s="45">
        <v>0.0</v>
      </c>
      <c r="E19" s="42">
        <f>C19*D19</f>
        <v>0</v>
      </c>
      <c r="F19" s="12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8"/>
      <c r="B20" s="39" t="s">
        <v>26</v>
      </c>
      <c r="C20" s="44">
        <v>0.0</v>
      </c>
      <c r="D20" s="41">
        <f>((4%*D15)+(0.24%*D15)+(0.3%*D15))</f>
        <v>291507.9974</v>
      </c>
      <c r="E20" s="42">
        <f>D20</f>
        <v>291507.9974</v>
      </c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/>
      <c r="B21" s="46" t="s">
        <v>27</v>
      </c>
      <c r="C21" s="47">
        <v>0.0</v>
      </c>
      <c r="D21" s="48">
        <v>0.0</v>
      </c>
      <c r="E21" s="49">
        <v>0.0</v>
      </c>
      <c r="F21" s="12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/>
      <c r="B22" s="50"/>
      <c r="C22" s="51"/>
      <c r="D22" s="52" t="s">
        <v>28</v>
      </c>
      <c r="E22" s="53">
        <f>SUM(E15:E21)</f>
        <v>6712388.997</v>
      </c>
      <c r="F22" s="12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/>
      <c r="B23" s="17"/>
      <c r="C23" s="16"/>
      <c r="D23" s="16"/>
      <c r="E23" s="54"/>
      <c r="F23" s="12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/>
      <c r="B24" s="32" t="s">
        <v>29</v>
      </c>
      <c r="C24" s="33" t="s">
        <v>30</v>
      </c>
      <c r="D24" s="33" t="s">
        <v>31</v>
      </c>
      <c r="E24" s="34" t="s">
        <v>20</v>
      </c>
      <c r="F24" s="12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6.5" customHeight="1">
      <c r="A25" s="8"/>
      <c r="B25" s="55" t="s">
        <v>32</v>
      </c>
      <c r="C25" s="56">
        <v>0.01</v>
      </c>
      <c r="D25" s="57">
        <f>C25*E22</f>
        <v>67123.88997</v>
      </c>
      <c r="E25" s="38">
        <f t="shared" ref="E25:E27" si="2">D25</f>
        <v>67123.88997</v>
      </c>
      <c r="F25" s="12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/>
      <c r="B26" s="58" t="s">
        <v>33</v>
      </c>
      <c r="C26" s="59">
        <v>0.02</v>
      </c>
      <c r="D26" s="45">
        <f>C26*D15</f>
        <v>128417.62</v>
      </c>
      <c r="E26" s="42">
        <f t="shared" si="2"/>
        <v>128417.62</v>
      </c>
      <c r="F26" s="12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/>
      <c r="B27" s="58" t="s">
        <v>34</v>
      </c>
      <c r="C27" s="59">
        <v>0.01</v>
      </c>
      <c r="D27" s="45">
        <f>C27*D15</f>
        <v>64208.81</v>
      </c>
      <c r="E27" s="42">
        <f t="shared" si="2"/>
        <v>64208.81</v>
      </c>
      <c r="F27" s="12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/>
      <c r="B28" s="60" t="s">
        <v>35</v>
      </c>
      <c r="C28" s="59">
        <v>0.0</v>
      </c>
      <c r="D28" s="45">
        <v>0.0</v>
      </c>
      <c r="E28" s="42">
        <f>C28*D28</f>
        <v>0</v>
      </c>
      <c r="F28" s="12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/>
      <c r="B29" s="61" t="s">
        <v>27</v>
      </c>
      <c r="C29" s="59">
        <v>0.0</v>
      </c>
      <c r="D29" s="45">
        <v>0.0</v>
      </c>
      <c r="E29" s="49"/>
      <c r="F29" s="12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/>
      <c r="B30" s="62" t="s">
        <v>36</v>
      </c>
      <c r="C30" s="63">
        <v>0.0</v>
      </c>
      <c r="D30" s="64">
        <v>-75625.0</v>
      </c>
      <c r="E30" s="65">
        <f>D30</f>
        <v>-75625</v>
      </c>
      <c r="F30" s="12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/>
      <c r="B31" s="50"/>
      <c r="C31" s="51"/>
      <c r="D31" s="66" t="s">
        <v>37</v>
      </c>
      <c r="E31" s="67">
        <f>sum(E25:E30)</f>
        <v>184125.32</v>
      </c>
      <c r="F31" s="12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/>
      <c r="B32" s="17"/>
      <c r="C32" s="16"/>
      <c r="D32" s="16"/>
      <c r="E32" s="54"/>
      <c r="F32" s="12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/>
      <c r="B33" s="68" t="s">
        <v>38</v>
      </c>
      <c r="C33" s="69"/>
      <c r="D33" s="19"/>
      <c r="E33" s="70">
        <f>sum(E15:E16)-E31</f>
        <v>6236755.68</v>
      </c>
      <c r="F33" s="12"/>
      <c r="G33" s="7"/>
      <c r="H33" s="71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/>
      <c r="B34" s="68" t="s">
        <v>39</v>
      </c>
      <c r="C34" s="69"/>
      <c r="D34" s="19"/>
      <c r="E34" s="72"/>
      <c r="F34" s="12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/>
      <c r="B35" s="17"/>
      <c r="C35" s="16"/>
      <c r="D35" s="16"/>
      <c r="E35" s="73"/>
      <c r="F35" s="12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/>
      <c r="B36" s="17"/>
      <c r="C36" s="16"/>
      <c r="D36" s="16"/>
      <c r="E36" s="73"/>
      <c r="F36" s="12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/>
      <c r="B37" s="17"/>
      <c r="C37" s="16"/>
      <c r="D37" s="16"/>
      <c r="E37" s="73"/>
      <c r="F37" s="12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/>
      <c r="B38" s="74" t="s">
        <v>40</v>
      </c>
      <c r="E38" s="73"/>
      <c r="F38" s="12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/>
      <c r="E39" s="73"/>
      <c r="F39" s="12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/>
      <c r="B40" s="17"/>
      <c r="C40" s="16"/>
      <c r="D40" s="16"/>
      <c r="E40" s="73"/>
      <c r="F40" s="12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/>
      <c r="B41" s="17"/>
      <c r="C41" s="16"/>
      <c r="D41" s="16"/>
      <c r="E41" s="73"/>
      <c r="F41" s="12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/>
      <c r="B42" s="17"/>
      <c r="C42" s="16"/>
      <c r="D42" s="16"/>
      <c r="E42" s="73"/>
      <c r="F42" s="12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/>
      <c r="B43" s="17"/>
      <c r="C43" s="16"/>
      <c r="D43" s="16"/>
      <c r="E43" s="73"/>
      <c r="F43" s="12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/>
      <c r="B44" s="17"/>
      <c r="C44" s="16"/>
      <c r="D44" s="16"/>
      <c r="E44" s="73"/>
      <c r="F44" s="12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/>
      <c r="B45" s="17"/>
      <c r="C45" s="16"/>
      <c r="D45" s="16"/>
      <c r="E45" s="73"/>
      <c r="F45" s="12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/>
      <c r="B46" s="17"/>
      <c r="C46" s="16"/>
      <c r="D46" s="16"/>
      <c r="E46" s="73"/>
      <c r="F46" s="12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/>
      <c r="B47" s="17"/>
      <c r="C47" s="16"/>
      <c r="D47" s="16"/>
      <c r="E47" s="73"/>
      <c r="F47" s="12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/>
      <c r="B48" s="75" t="s">
        <v>41</v>
      </c>
      <c r="F48" s="12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6"/>
      <c r="B49" s="77" t="s">
        <v>42</v>
      </c>
      <c r="C49" s="78"/>
      <c r="D49" s="78"/>
      <c r="E49" s="78"/>
      <c r="F49" s="79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</sheetData>
  <mergeCells count="10">
    <mergeCell ref="B38:D39"/>
    <mergeCell ref="B48:E48"/>
    <mergeCell ref="B49:E49"/>
    <mergeCell ref="B6:C6"/>
    <mergeCell ref="B7:C7"/>
    <mergeCell ref="B8:C8"/>
    <mergeCell ref="B9:C9"/>
    <mergeCell ref="B33:D33"/>
    <mergeCell ref="E33:E34"/>
    <mergeCell ref="B34:D34"/>
  </mergeCells>
  <printOptions horizontalCentered="1"/>
  <pageMargins bottom="0.75" footer="0.0" header="0.0" left="0.7" right="0.7" top="0.75"/>
  <pageSetup paperSize="9" cellComments="atEnd" orientation="portrait" pageOrder="overThenDown"/>
  <drawing r:id="rId1"/>
</worksheet>
</file>